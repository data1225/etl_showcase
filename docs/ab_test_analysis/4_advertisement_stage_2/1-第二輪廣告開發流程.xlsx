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A.change jobs\data_science_practice\etl_showcase\docs\ab_test_analysis\4_advertisement_stage_2\"/>
    </mc:Choice>
  </mc:AlternateContent>
  <xr:revisionPtr revIDLastSave="0" documentId="13_ncr:1_{24B282F7-6829-4C37-9F33-1248D4585A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分析報告要點" sheetId="6" r:id="rId1"/>
    <sheet name="決定廣告主題" sheetId="2" r:id="rId2"/>
    <sheet name="AI初稿腳本與角色創建" sheetId="3" r:id="rId3"/>
    <sheet name="故事板-生活質感派" sheetId="4" r:id="rId4"/>
    <sheet name="開發成本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G3" i="7" s="1"/>
  <c r="E2" i="7"/>
  <c r="G2" i="7" s="1"/>
  <c r="H2" i="7" s="1"/>
  <c r="J24" i="4"/>
  <c r="I24" i="4"/>
</calcChain>
</file>

<file path=xl/sharedStrings.xml><?xml version="1.0" encoding="utf-8"?>
<sst xmlns="http://schemas.openxmlformats.org/spreadsheetml/2006/main" count="239" uniqueCount="209">
  <si>
    <t>場景序列名稱</t>
  </si>
  <si>
    <t>場景編號</t>
  </si>
  <si>
    <t>場景描述</t>
  </si>
  <si>
    <t>產出圖片名稱</t>
  </si>
  <si>
    <t>產生影片提示詞</t>
  </si>
  <si>
    <t>產出影片名稱</t>
  </si>
  <si>
    <t>切角</t>
  </si>
  <si>
    <t>選品</t>
  </si>
  <si>
    <t>Top 10 痛點 中 7 項為商品本身痛點、2 項為商家服務痛點、1 項屬心理價格焦慮。廣告素材需強勢露出產品展示 + 真實口碑 + 認證數據回應商品痛點；服務痛點（客服、退貨、瑕疵）是 EC 平台的「Deal breaker」，必須在落地頁直接破解（7 天鑑賞期、免費換貨、Line 客服即回）；價格焦慮則用「不是智商稅」的一年長測證明回應。</t>
  </si>
  <si>
    <t>根據</t>
  </si>
  <si>
    <t>最後決定主題</t>
  </si>
  <si>
    <t>決策考量</t>
  </si>
  <si>
    <t>Claude提供腳本</t>
  </si>
  <si>
    <t>腳本調整方向</t>
  </si>
  <si>
    <t>3-1</t>
    <phoneticPr fontId="3" type="noConversion"/>
  </si>
  <si>
    <t>產生圖片提示詞</t>
    <phoneticPr fontId="3" type="noConversion"/>
  </si>
  <si>
    <t>產生圖片說明</t>
    <phoneticPr fontId="3" type="noConversion"/>
  </si>
  <si>
    <t>2-1</t>
    <phoneticPr fontId="3" type="noConversion"/>
  </si>
  <si>
    <t>2-3</t>
    <phoneticPr fontId="3" type="noConversion"/>
  </si>
  <si>
    <t>產生影片說明</t>
    <phoneticPr fontId="3" type="noConversion"/>
  </si>
  <si>
    <t>追加聲音素材說明</t>
    <phoneticPr fontId="3" type="noConversion"/>
  </si>
  <si>
    <t>追加聲音素材名稱</t>
    <phoneticPr fontId="3" type="noConversion"/>
  </si>
  <si>
    <t>切角</t>
    <phoneticPr fontId="3" type="noConversion"/>
  </si>
  <si>
    <t>目標受眾</t>
    <phoneticPr fontId="3" type="noConversion"/>
  </si>
  <si>
    <t>說明</t>
    <phoneticPr fontId="3" type="noConversion"/>
  </si>
  <si>
    <t>生活質感派</t>
    <phoneticPr fontId="3" type="noConversion"/>
  </si>
  <si>
    <t>每晚都想回到的書桌，從這盞燈開始。</t>
    <phoneticPr fontId="3" type="noConversion"/>
  </si>
  <si>
    <t>核心訴求</t>
    <phoneticPr fontId="3" type="noConversion"/>
  </si>
  <si>
    <t>把護眼燈定位為「生活風格 + 自我陪伴」，銜接勝出廣告精神。</t>
    <phoneticPr fontId="3" type="noConversion"/>
  </si>
  <si>
    <t>Instagram (主) + Facebook + Threads</t>
    <phoneticPr fontId="3" type="noConversion"/>
  </si>
  <si>
    <t>素材格式</t>
    <phoneticPr fontId="3" type="noConversion"/>
  </si>
  <si>
    <t>商品</t>
    <phoneticPr fontId="3" type="noConversion"/>
  </si>
  <si>
    <t>核心情緒</t>
    <phoneticPr fontId="3" type="noConversion"/>
  </si>
  <si>
    <t>從「市場調查報告」中保留下來的重要參考資訊。</t>
    <phoneticPr fontId="3" type="noConversion"/>
  </si>
  <si>
    <t>廣告避雷</t>
    <phoneticPr fontId="3" type="noConversion"/>
  </si>
  <si>
    <t>方向三：行銷主推</t>
    <phoneticPr fontId="3" type="noConversion"/>
  </si>
  <si>
    <t>「不是檯燈，是我把工作桌變回自己房間的那個 switch。」</t>
    <phoneticPr fontId="3" type="noConversion"/>
  </si>
  <si>
    <t>預估效果</t>
    <phoneticPr fontId="3" type="noConversion"/>
  </si>
  <si>
    <t>CTR +15-25%；CPA 預估再降 15-25%；ROAS 上看 6.0+</t>
    <phoneticPr fontId="3" type="noConversion"/>
  </si>
  <si>
    <t>備註</t>
    <phoneticPr fontId="3" type="noConversion"/>
  </si>
  <si>
    <t>核心台詞</t>
    <phoneticPr fontId="3" type="noConversion"/>
  </si>
  <si>
    <t>預計播放平台</t>
    <phoneticPr fontId="3" type="noConversion"/>
  </si>
  <si>
    <t>幫我想幾個符合現在社會主旋律：要健康地、有生活品質地奮鬥，且讓觀眾有被陪伴感的廣告概念，如果能兼顧，最好同時有病毒傳播力，下列是我的商品資料和廣告策略：
商品資料：
品牌名稱	：喜光全光譜
顏色	：黑色、白色
功能	：觸控、場景模式
商品規格：
◆ 品名：全光譜LED健康護眼檯燈-TIONE鈦珈白(桌夾+底座)
◆ 型號：SY-FS10-18WH/BL
◆ 額定功率：18W
◆ 額定電壓：24VDC
◆ 功率因數：)0.4
◆ 演色性：Ra)97
◆ 色溫：5種情境色溫
｜2700K夜間閱讀黃光｜3000K休閒黃光｜4000K舒適自然光｜5000K閱讀白光｜6500K專注白光
◆ 亮度：五段亮度調節
◆ 開關：觸控開關、50分鐘關燈休息提醒
◆ 照度：2000 lux (40cm中心點)
◆ 材質：鋁合金、ABS
◆ 燈具重量：1270g
◆ 底座重量 : 3.78kg
◆ 燈罩60cm,上臂33.6cm,下臂49.4cm,桌夾高11.5cm
◆ 底座:長22*寬17*厚4cm, 重量3.7kg
◆ 全新升級保固：整燈保固2年/燈珠保固3年(2025年3月起算)
◆ 配件：TIONE桌夾款x1, 底座(贈品)x1,電源供應器x1,說明書x1
桌夾款．補充說明
◆ 適用桌子厚度：1.5公分~10公分之間
◆ 備註1：桌夾款為「單向桌夾式」，僅能「平行」桌面夾式使用，非立式使用。
◆ 備註2：建議安裝於桌板，不適合安裝在管型材料，不可夾鐵棒。
◆ 權威推荐：諾貝爾眼科院長推薦
廣告策略：
切角：生活質感派
核心台詞：「不是檯燈，是我把工作桌變回自己房間的那個 switch。」
核心情緒：每晚都想回到的書桌，從這盞燈開始。
核心訴求：把護眼燈定位為「生活風格 + 自我陪伴」，銜接「健康地、有生活品質地奮鬥」的廣告精神。
目標受眾：25-35 都會女性 / 自由接案 / Dcard 桌面 setup 重度搜尋者
素材格式：Reels/Story 15-30s · Carousel · KOC 開箱 vlog
預計播放平台：Instagram (主) + Facebook + Threads</t>
    <phoneticPr fontId="3" type="noConversion"/>
  </si>
  <si>
    <t>提示詞</t>
    <phoneticPr fontId="3" type="noConversion"/>
  </si>
  <si>
    <t>廣告概念一：「Switch」
病毒潛力 ★★★★★ / 陪伴感 ★★★★★ / 生活質感 ★★★★★
核心概念
直接影像化核心台詞。「Switch」不只是切換燈，是切換人生狀態。
畫面敘事
她關掉工作用的第二顆螢幕。
伸手，輕觸燈。
色溫從冷白切到暖黃。
整個畫面的氣氛跟著變了——
桌面還是同一張桌，但突然變成「她的房間」了。
她拿起旁邊的咖啡，靠回椅背，第一次在這個位置笑了。
文案
「不是檯燈。是我把工作桌變回自己房間的那個 switch。」
為什麼有病毒力
「switch」這個詞對都會女性有極強的情感觸發——
她們都有一個「工作模式」和「自己模式」，
這個廣告說出了她們每晚都在做但從來沒有被說出來的事。
Threads 上這句話會被大量引用。
廣告概念二：「每晚都想回來的地方」
病毒潛力 ★★★★☆ / 陪伴感 ★★★★★ / 生活質感 ★★★★★
核心概念
書桌不是工作的地方，是每晚最想回去的角落。
畫面敘事
一系列她的書桌在不同時間點的樣子：
早上——筆電、咖啡、待辦清單。
下午——視訊會議、便利貼、外送袋。
晚上——燈切成暖光，桌上換成素描本、耳機、一杯熱茶。
同一張桌，只有燈的光色變了，整個人的狀態就不一樣。
旁白：
「同一張桌。但只有這個時候，是我的。」
文案
「每晚都想回來的地方，從這道光開始。」
為什麼有陪伴感
「只有這個時候是我的」這句話精準命中
自由接案者、WFH 族的內心獨白。
她們的書桌全天都在工作，
能有一個屬於自己的時刻，是每天最小但最重要的儀式。
廣告概念三：「Soft Life 不是不努力」
病毒潛力 ★★★★★ / 陪伴感 ★★★★☆ / 生活質感 ★★★★★
核心概念
直接回應「soft life」這個在都會女性社群高度流通的概念，
重新定義它和奮鬥的關係。
畫面敘事
她在工作，但畫面很美——
暖光打在側臉，桌面整齊有質感，
手邊有花、有水、有她喜歡的馬克杯。
她不是在放鬆，她在認真工作。
但她工作的樣子，像是在享受。
旁白：
「Soft life 不是不努力。是努力的時候，也捨得對自己好一點。」
文案
「Ra97 的光，讓工作的樣子也可以很美。」
為什麼有病毒力
「Soft life 不是不努力」這句話
在對抗「躺平」標籤的都會女性社群中
有極強的共鳴和轉發潛力。
這個族群既想努力又想有質感，
這個廣告給了她們一個不必二選一的答案。
廣告概念四：「我的儀式」
病毒潛力 ★★★☆☆ / 陪伴感 ★★★★★ / 生活質感 ★★★★★
核心概念
切換燈的那一秒，是她給自己的儀式感。
小而確定的幸福。
畫面敘事
極簡風格，幾乎沒有敘事。
只有她的手，輕觸燈。
色溫切換的瞬間，慢動作。
光落在桌面、落在她的手背、落在旁邊的植物上。
安靜，但很滿足。
旁白：
「一天裡最小的動作。但每次都讓我覺得，
今天也把自己照顧好了。」
文案
「喜光全光譜。你每晚的小儀式。」
為什麼有陪伴感
「把自己照顧好了」這句話
對長期獨居、自由接案的都會女性有極深的共鳴。
沒有人誇你，但你知道你做到了。
這個廣告陪著她完成這個確認。
廣告概念五：「Open a new tab」
病毒潛力 ★★★★☆ / 陪伴感 ★★★★☆ / 生活質感 ★★★★☆
核心概念
用數位原生世代最熟悉的語言，
說一個切換狀態的故事。
畫面敘事
螢幕上一堆工作的分頁。
她按下「關閉所有分頁」。
螢幕變乾淨。
然後她伸手，切換燈的色溫。
房間的氣氛跟著變。
她打開一個新分頁——但這次上面是她自己的事。
旁白：
「工作的分頁關掉了。現在開的，是你自己的。」
文案
「換一個光，open a new tab。」
為什麼有病毒力
「Open a new tab」這個說法對
25–35歲都會女性來說既熟悉又有新鮮感，
在 Threads 和 Instagram 限動上容易變成
一個被廣泛引用的說法。
混搭中英文的語感也符合這個族群的溝通風格。</t>
    <phoneticPr fontId="3" type="noConversion"/>
  </si>
  <si>
    <t>AI Claude提供主題</t>
    <phoneticPr fontId="3" type="noConversion"/>
  </si>
  <si>
    <t>選擇廣告概念一。</t>
    <phoneticPr fontId="3" type="noConversion"/>
  </si>
  <si>
    <t>本次廣告概念最終選擇以「Switch」作為核心方向。
相較於偏溫馨陪伴的「每晚都想回來的地方」與「我的儀式」，「Switch」更具記憶點與傳播性，也更容易與現代人的生活切換情境產生連結。
此外，雖然「Open a new tab」具備新鮮感，但情緒張力相對較弱；而「Soft Life 不是不努力」則較偏向特定價值觀族群。相比之下，「Switch」除了能呼應「工作／生活模式切換」外，也能連結遊戲中突破關卡的情緒感受，較有機會觸及更廣泛、重視生活品質與自我成長的受眾。</t>
    <phoneticPr fontId="3" type="noConversion"/>
  </si>
  <si>
    <t>25-35 歲都會工作族群 / 自由接案 / Dcard 桌面 setup 重度搜尋者</t>
    <phoneticPr fontId="3" type="noConversion"/>
  </si>
  <si>
    <t>寫一支30秒腳本，風格有健康奮鬥感(健康地、有生活品質地奮鬥)、讓觀眾有被陪伴感，需有強Hook+產品介紹+CTA，同時要能縮減成15秒，最好直接幫我標示為縮減成15秒可砍掉的場景或情節有哪些，整體廣告概念如下，可依需要調整：
廣告概念：「Switch」
核心概念：直接影像化核心台詞。「Switch」不只是切換燈，是切換人生狀態。
故事大綱：
桌上那杯咖啡已經涼了——她沒注意到，因為她還在工作。
收尾完最後一個檔案，她關掉第二顆螢幕。
房間暗了一半。
她伸手，輕觸燈。
色溫從6500K冷白，緩緩切換到4000K舒適自然光。
她看了一眼那杯涼咖啡。
拿起來，走去廚房，倒掉，重新煮一杯。
回來坐下。
兩手捧著熱杯，靠回椅背。
桌面還是同一張桌——但現在是她的房間了。
她對著那道暖光，笑了。
不是給誰看的。是給自己的。
旁白：「涼掉的是工作。這杯，是給我自己的。」
字卡：
「不是檯燈。」
「是我把工作桌變回自己房間的那個 switch。」
為什麼有病毒力：「switch」這個詞對都會上班族有極強的情感觸發——他們都有一個「工作模式」和「自己模式」，這個廣告說出了他們每晚都在做但從來沒有被說出來的事。Threads 上這句話會被大量引用。
目標受眾：25-35 歲都會工作族群 / 自由接案 / Dcard 桌面 setup 重度搜尋者</t>
    <phoneticPr fontId="3" type="noConversion"/>
  </si>
  <si>
    <t>產生腳本提示詞</t>
    <phoneticPr fontId="3" type="noConversion"/>
  </si>
  <si>
    <t>我在撰寫腳本提示詞時，故事大綱後來有重新構想，因為原本 AI 生成的版本缺乏記憶點。
另外，由於第一版廣告的目標受眾為男性，這次特別將主角改為女性，以嘗試擴大市場覆蓋率。
原本也希望透過增加故事張力，在提示詞中加入衝突與障礙、吸引人的時間地點與人物背景設定、情緒高峰，以及前後狀態對比等元素，但調整後的結果過於冗長，不利於需要快速抓住注意力的廣告呈現，因此最終仍將故事要素簡化為 Hook、產品介紹與 CTA。</t>
    <phoneticPr fontId="3" type="noConversion"/>
  </si>
  <si>
    <t>HOOK</t>
    <phoneticPr fontId="3" type="noConversion"/>
  </si>
  <si>
    <t>她看了眼那杯涼咖啡。
拿起來，走進廚房，倒掉。
重新煮一杯——熱氣升起的特寫。
端著新杯回到桌前，坐下。</t>
    <phoneticPr fontId="3" type="noConversion"/>
  </si>
  <si>
    <t>產品時刻</t>
    <phoneticPr fontId="3" type="noConversion"/>
  </si>
  <si>
    <t>CTA</t>
    <phoneticPr fontId="3" type="noConversion"/>
  </si>
  <si>
    <t>【Switch 廣告腳本｜30秒完整版 / 15秒縮減版】
目標受眾：25–35 歲都會工作族群 ／ 自由接案 ／ 桌面 setup 族群
■ HOOK
【場景 01｜冷咖啡特寫｜0–3s】【15秒版保留】
極端特寫桌上一杯咖啡。白煙已散，杯壁無霧氣。
冷白螢幕光打在杯面上，倒映出鍵盤敲擊的殘影。
無旁白。只有鍵盤聲。
■ 工作狀態建立
【場景 02｜收尾工作｜3–8s】【15秒版保留】
她按下最後一個 enter。
關掉第二顆螢幕——房間暗了一半。
鍵盤聲停。靜。
■ 可砍區段（15秒版本請跳過此段）
【場景 03｜咖啡儀式｜8–16s】【15秒版可砍】
她看了眼那杯涼咖啡。
拿起來，走進廚房，倒掉。
重新煮一杯——熱氣升起的特寫。
端著新杯回到桌前，坐下。
※ 15秒版刪除此段。此段作用是強化「捨棄工作狀態、善待自己」的象徵儀式，時間允許時保留效果最好。
■ 核心產品時刻
【場景 04｜Switch 的手｜16–20s（15秒版：8–12s）】【15秒版保留】
她伸手，輕觸檯燈。
色溫緩移：6500K 冷白 → 4000K 暖自然光。
桌面同一張桌——但整個空間質感變了。
她兩手捧杯，靠回椅背，對著那道暖光，笑了。
不是給誰看的。是給自己的。
■ 旁白
VO：「涼掉的是工作。這杯，是給我自己的。」
■ 字卡
字卡 01：不是檯燈。
字卡 02：是我把工作桌，變回自己房間的那個 switch。
■ CTA
「你的 switch，在哪裡？」
品牌名 ／ 官網連結 ／ 限時折扣提示（可選）
■ 導演注記
聲音設計：全片幾乎無配樂，只留鍵盤聲→靜默→水聲（倒咖啡）→環境音，最後一個輕觸燈的聲音是情緒轉捩點。
光：色溫轉換是最重要的產品展示，至少佔畫面 2 秒，慢速過渡，不要剪接。
表演：全程沒有刻意的笑容，最後那個笑是真實的、給自己的，演員不能「表演快樂」。
15秒版銜接：場景 02 結束（房間暗了一半）→ 直接跳場景 04（觸燈），用一個剪接完成「before / after」，旁白＋字卡壓縮在最後 5 秒。</t>
    <phoneticPr fontId="3" type="noConversion"/>
  </si>
  <si>
    <t>極端特寫桌上一杯咖啡。白煙已散，杯壁無霧氣。
冷白螢幕光打在杯面上，倒映出鍵盤敲擊的殘影。
無旁白。只有鍵盤聲。</t>
    <phoneticPr fontId="3" type="noConversion"/>
  </si>
  <si>
    <t>1-1</t>
    <phoneticPr fontId="3" type="noConversion"/>
  </si>
  <si>
    <t>1-2</t>
    <phoneticPr fontId="3" type="noConversion"/>
  </si>
  <si>
    <t>1-3</t>
    <phoneticPr fontId="3" type="noConversion"/>
  </si>
  <si>
    <t>她伸手，輕觸檯燈。
色溫緩移：6500K 冷白 → 4000K 暖自然光。
桌面同一張桌——但整個空間質感變了。</t>
    <phoneticPr fontId="3" type="noConversion"/>
  </si>
  <si>
    <t>2-2</t>
    <phoneticPr fontId="3" type="noConversion"/>
  </si>
  <si>
    <t>她按下最後一個 enter。
關掉第二顆螢幕——房間暗了一半。</t>
    <phoneticPr fontId="3" type="noConversion"/>
  </si>
  <si>
    <t>她伸手，輕觸檯燈。
色溫緩移：6500K 冷白 → 4000K 暖自然光。</t>
    <phoneticPr fontId="3" type="noConversion"/>
  </si>
  <si>
    <t>30秒版預計片段時長(秒)</t>
    <phoneticPr fontId="3" type="noConversion"/>
  </si>
  <si>
    <t>15秒版預計片段時長(秒)</t>
    <phoneticPr fontId="3" type="noConversion"/>
  </si>
  <si>
    <t>30秒版剪輯筆記</t>
    <phoneticPr fontId="3" type="noConversion"/>
  </si>
  <si>
    <t>15秒版剪輯筆記</t>
    <phoneticPr fontId="3" type="noConversion"/>
  </si>
  <si>
    <t>產生角色及主要空間提示詞</t>
    <phoneticPr fontId="3" type="noConversion"/>
  </si>
  <si>
    <t>一位長相普通的亞洲女性，年紀約25歲，長相溫柔、優雅、耐看，桃花眼，但不具攻擊性，耳下長度的法式短髮，有化淡妝，
穿著輕鬆、有輕微設計感、有輕微藝術氣質的服裝。
在一間個人套房中，套房外型講究、有設計感，套房有工作區(含高單價電腦、鍵盤)、浴室、可簡單料理或泡咖啡的小型琉璃台、單人床、輕微裝飾。背景要清晰一點、不要有景深。</t>
    <phoneticPr fontId="3" type="noConversion"/>
  </si>
  <si>
    <t>大特寫平視白色桌子上的一個有設計感的杯子，讓畫面中只有杯子、白色桌面、背後的背景，杯子中裝著一半的冷掉的咖啡，杯子所在位置是 「含人物的空間圖」 中桌子上，且位於座位的右邊，
冷白螢幕光打在杯面上，倒映出杯子正前方的鍵盤和敲擊鍵盤的女性的手殘影。
大特寫視角是從座位的位置拍向植物和窗外，所有光線配置與 「含人物的空間圖」一致。</t>
    <phoneticPr fontId="3" type="noConversion"/>
  </si>
  <si>
    <t>場景1-2</t>
    <phoneticPr fontId="3" type="noConversion"/>
  </si>
  <si>
    <t>一開始產的圖鏡頭過遠，後有把鏡頭拉近。</t>
    <phoneticPr fontId="3" type="noConversion"/>
  </si>
  <si>
    <t>「場景1-2拉近鏡頭之前那張圖」以此圖為基礎，讓螢幕黑掉。</t>
    <phoneticPr fontId="3" type="noConversion"/>
  </si>
  <si>
    <t>以中全景平視，讓「人物全身圖」中的角色拿著「場景1-3」中的咖啡杯到「無人物空間圖」右側的水槽把咖啡倒掉。</t>
    <phoneticPr fontId="3" type="noConversion"/>
  </si>
  <si>
    <t>場景1-3-2</t>
    <phoneticPr fontId="3" type="noConversion"/>
  </si>
  <si>
    <t>場景1-3-1</t>
    <phoneticPr fontId="3" type="noConversion"/>
  </si>
  <si>
    <t>分成兩步才產生合適的圖。</t>
    <phoneticPr fontId="3" type="noConversion"/>
  </si>
  <si>
    <t>第一步提示詞
「流理台圖」以此圖為基礎，擷取煮咖啡用具的部份，並拉近距離，讓畫面中只有煮咖啡用具和周圍的環境。
第二步提示詞
「第一步產生的圖」以此圖為基礎，把右側茶壺放到左側黑色板子上，並把茶壺裝滿水，把左側黑色板子上的手沖咖啡壺放到黑色板子右邊，把手沖咖啡壺後的手搖磨豆機放到黑色板子右邊，把手搖磨豆機補上把手，並把手沖咖啡壺中的咖啡刪掉，把茶壺前的透明杯子刪掉。</t>
    <phoneticPr fontId="3" type="noConversion"/>
  </si>
  <si>
    <t>場景1-3-3</t>
    <phoneticPr fontId="3" type="noConversion"/>
  </si>
  <si>
    <t>近景俯視角拍攝，畫面中只有 「場景1-3-3」 中的手沖咖啡壺，和 「場景1-3-3」 中的藍色桌面做畫畫面背景。
同時，手沖咖啡壺上已放上過濾咖啡用的濾紙。</t>
    <phoneticPr fontId="3" type="noConversion"/>
  </si>
  <si>
    <t>場景1-3-4</t>
    <phoneticPr fontId="3" type="noConversion"/>
  </si>
  <si>
    <t>以 「場景1-3-4」 為基礎，一樣近景俯視角拍攝，但茶壺底部加一點點的水，且茶壺杯壁有一點點的霧氣，且濾紙需要是全濕，在畫面右上角加入正要倒入咖啡粉的木頭底座，木頭底座是 「場景1-3-3」 中的手搖磨豆機去掉銀色頭部後的木頭底座，木頭底座中裝著咖啡粉。</t>
    <phoneticPr fontId="3" type="noConversion"/>
  </si>
  <si>
    <t>場景1-3-5</t>
    <phoneticPr fontId="3" type="noConversion"/>
  </si>
  <si>
    <t>場景1-3-6</t>
    <phoneticPr fontId="3" type="noConversion"/>
  </si>
  <si>
    <t>以 「場景1-3-4」為基礎，一樣近景俯視角拍攝，在畫面右上角加入正要倒入水的茶壺，壺是 「場景1-3-3」 中的茶壺。</t>
    <phoneticPr fontId="3" type="noConversion"/>
  </si>
  <si>
    <t>場景1-3-7</t>
    <phoneticPr fontId="3" type="noConversion"/>
  </si>
  <si>
    <t>以 「場景1-3-7」為基礎，一樣近景俯視角拍攝，光線維持跟原圖一樣，但刪除右上角的木頭底座，同時，手沖咖啡壺濾紙底部有均勻佈滿的咖啡粉。</t>
    <phoneticPr fontId="3" type="noConversion"/>
  </si>
  <si>
    <t>場景1-3-8</t>
    <phoneticPr fontId="3" type="noConversion"/>
  </si>
  <si>
    <t>以 「場景1-3-7」 為基礎，一樣近景俯視角拍攝，但刪除右上角的木頭底座，其它要素均與「場景1-3-7」一樣。</t>
    <phoneticPr fontId="3" type="noConversion"/>
  </si>
  <si>
    <t>以 「場景1-3-8」為基礎，一樣近景俯視角拍攝，光線維持跟原圖一樣，在畫面右上角加入正要倒入水的茶壺，茶壺是 「場景1-3-8」 中的茶壺。</t>
    <phoneticPr fontId="3" type="noConversion"/>
  </si>
  <si>
    <t>場景1-3-9</t>
    <phoneticPr fontId="3" type="noConversion"/>
  </si>
  <si>
    <t>場景1-3-10</t>
    <phoneticPr fontId="3" type="noConversion"/>
  </si>
  <si>
    <t>場景1-3-11</t>
    <phoneticPr fontId="3" type="noConversion"/>
  </si>
  <si>
    <t>「場景1-3-11」以此圖為基礎，刪掉在流理台前的角色，並讓圖中角色坐到桌子前，手上用單手拿著杯子，隔熱底座放桌上，角色正面可參考 「人物全身圖」 ，完整的流理台可參考 「無人物空間圖」</t>
    <phoneticPr fontId="3" type="noConversion"/>
  </si>
  <si>
    <t>場景1-3-12</t>
    <phoneticPr fontId="3" type="noConversion"/>
  </si>
  <si>
    <t>後來有補上電腦椅。</t>
    <phoneticPr fontId="3" type="noConversion"/>
  </si>
  <si>
    <t>以「 場景1-3-12」為基礎，把右方的6500K冷白光光源改成4000K 暖自然光</t>
    <phoneticPr fontId="3" type="noConversion"/>
  </si>
  <si>
    <t>場景2-2-1</t>
    <phoneticPr fontId="3" type="noConversion"/>
  </si>
  <si>
    <t>以  「場景2-2-1」  為基礎，讓角色正面向鏡頭右方上面一點，並露出真心的微笑，並讓咖啡的煙少掉二分之一。</t>
    <phoneticPr fontId="3" type="noConversion"/>
  </si>
  <si>
    <t>場景2-2-2</t>
    <phoneticPr fontId="3" type="noConversion"/>
  </si>
  <si>
    <t>以 「含人物的空間圖」為基礎，把角度改成正對面向窗戶，用中景呈現角色主觀視角看向螢幕、鍵盤方向所見畫面，角色左手邊補上 「場景1-1-2」中的咖啡杯。</t>
  </si>
  <si>
    <t>近景俯視角拍攝，畫面中裝滿咖啡的 「場景1-1-2」 中的咖啡杯，咖啡杯上冒著煙，和 「場景1-3-3」 中的藍色桌面做畫畫面背景。</t>
  </si>
  <si>
    <t>「無人物空間圖」 以此圖為基礎，把角度改成由電腦螢幕所在位置正面向流理台，並在流理台前加上 「人物全身圖」 中的角色拿著 「場景1-1-2」 中裝滿且冒著煙的咖啡杯，角色必須拿個隔熱的底座托住咖啡杯底部。</t>
  </si>
  <si>
    <t>場景1-1-2</t>
    <phoneticPr fontId="3" type="noConversion"/>
  </si>
  <si>
    <t>場景1-1-1</t>
    <phoneticPr fontId="3" type="noConversion"/>
  </si>
  <si>
    <t>以「場景1-1-2」為基礎，在咖啡上加上煙，且兩隻手的動作都要些微改變。</t>
    <phoneticPr fontId="3" type="noConversion"/>
  </si>
  <si>
    <t>她到書櫃拿一本書，接著開始閱讀</t>
    <phoneticPr fontId="3" type="noConversion"/>
  </si>
  <si>
    <t>場景2-3-2</t>
    <phoneticPr fontId="3" type="noConversion"/>
  </si>
  <si>
    <t>場景2-3-1</t>
    <phoneticPr fontId="3" type="noConversion"/>
  </si>
  <si>
    <t>以 「無人物空間圖」 為基礎，擷取左邊桌子的區塊，並在桌子上加上「場景1-1-1」中的咖啡，圖中需包含完整的燈，且桌上的燈和環境中的色溫要共存。</t>
    <phoneticPr fontId="3" type="noConversion"/>
  </si>
  <si>
    <t>場景3-1</t>
    <phoneticPr fontId="3" type="noConversion"/>
  </si>
  <si>
    <t>咖啡上的煙漂動著，但後來咖啡涼掉後煙消失了，咖啡後的手一直在工作著，一隻手在敲鍵盤，一隻手移動滑鼠點擊，電腦螢幕中的內容是在做UX設計。
固定鏡頭，整體光影一直是一部份的6500K白光和4000K自然光。</t>
    <phoneticPr fontId="3" type="noConversion"/>
  </si>
  <si>
    <t>場景1-1</t>
    <phoneticPr fontId="3" type="noConversion"/>
  </si>
  <si>
    <t>有使用首尾幀技術，
首幀：場景1-1-1
尾幀：場景1-1-2</t>
    <phoneticPr fontId="3" type="noConversion"/>
  </si>
  <si>
    <t>畫面中的女性看了一眼左下角的咖啡杯，深深呼吸一口氣，接著拿起咖啡杯起身，並往畫面左側離開畫面。
從頭到尾固定鏡頭，光影和圖一樣。女主的長相參考「人物全身圖」</t>
    <phoneticPr fontId="3" type="noConversion"/>
  </si>
  <si>
    <t>場景在 「場景1-2」 ，觀眾是主體，一開始出現滑鼠點擊聲，接著，螢幕正中映出現小型旋轉載入器，接著，右手離開畫面，且小型旋轉載入器消失，接著，出現一聲滑鼠點擊聲，接著螢幕變黑，螢幕變黑後是純黑色不要倒映出任何東西。從頭到尾固定鏡頭，視角和圖一致，光影和圖一樣。</t>
    <phoneticPr fontId="3" type="noConversion"/>
  </si>
  <si>
    <t>參考圖：場景1-2</t>
    <phoneticPr fontId="3" type="noConversion"/>
  </si>
  <si>
    <t>有使用首尾幀技術，
首幀：場景1-3-1 
尾幀：無
其它參考圖：人物全身圖</t>
    <phoneticPr fontId="3" type="noConversion"/>
  </si>
  <si>
    <t>有使用首尾幀技術，
首幀：場景1-3-2
尾幀：無</t>
    <phoneticPr fontId="3" type="noConversion"/>
  </si>
  <si>
    <t>畫面中的女性平靜地倒掉手中的咖啡，只要有倒掉的動作就好，不一定要倒完。
從頭到尾固定鏡頭，視角和圖一致，光影和圖一樣。</t>
    <phoneticPr fontId="3" type="noConversion"/>
  </si>
  <si>
    <t>實際片段3秒，擷取其中1秒來用。</t>
    <phoneticPr fontId="3" type="noConversion"/>
  </si>
  <si>
    <t>有使用首尾幀技術，
首幀：場景1-3-3
尾幀：無</t>
    <phoneticPr fontId="3" type="noConversion"/>
  </si>
  <si>
    <t>觀眾是主體，從頭到尾固定主觀鏡頭，視角和圖一致，光影和圖一樣，觀眾的手參考「人物全身圖」 ，電陶爐上裝著水的水壺沸騰著，接著，
0-1秒：觀眾的右手從畫面右邊伸進來，拿一小袋咖啡豆倒一些到磨豆機中，然後，右手拿著一小袋咖啡豆離開畫面
1-3秒：觀眾的右手從畫面右邊伸進來，開始轉動手搖磨豆機把手開始磨咖啡豆。</t>
    <phoneticPr fontId="3" type="noConversion"/>
  </si>
  <si>
    <t xml:space="preserve">
</t>
    <phoneticPr fontId="3" type="noConversion"/>
  </si>
  <si>
    <t>此張圖未用於任何一個影片生產，僅用於後續相關系列圖產圖參考用。</t>
    <phoneticPr fontId="3" type="noConversion"/>
  </si>
  <si>
    <t>有使用首尾幀技術，
首幀：場景1-3-5
尾幀：場景1-3-6</t>
    <phoneticPr fontId="3" type="noConversion"/>
  </si>
  <si>
    <t>有使用首尾幀技術，
首幀：場景1-3-7
尾幀：場景1-3-8</t>
    <phoneticPr fontId="3" type="noConversion"/>
  </si>
  <si>
    <t>觀眾是主體，從頭到尾固定主觀鏡頭，視角和圖一致，光影始終是4000K色溫，觀眾將研磨適中的咖啡粉倒入咖啡濾紙上，並輕輕拍打手沖咖啡壺，使咖啡粉呈現平整的表面。</t>
    <phoneticPr fontId="3" type="noConversion"/>
  </si>
  <si>
    <t>觀眾是主體，從頭到尾固定主觀鏡頭，視角和圖一致，光影始終是4000K色溫，觀眾拿着水壺在手沖咖啡壺底部上方由內向外繞圈，
將熱水澆在咖啡濾紙上直到濾紙濕透，澆濕咖啡濾紙期間，水有滴一些到手沖咖啡壺底部。</t>
    <phoneticPr fontId="3" type="noConversion"/>
  </si>
  <si>
    <t>有使用首尾幀技術，
首幀：場景1-3-9
尾幀：無</t>
    <phoneticPr fontId="3" type="noConversion"/>
  </si>
  <si>
    <t>觀眾是主體，從頭到尾固定主觀鏡頭，視角和圖一致，光影始終是4000K色溫，觀眾拿着水壺從中心開始注入熱水，再慢慢向外畫圓，直到將咖啡粉完全浸濕，
澆濕咖啡濾紙期間，濃稠深褐色的水有滴到手沖咖啡壺底部。</t>
    <phoneticPr fontId="3" type="noConversion"/>
  </si>
  <si>
    <t>有使用首尾幀技術，
首幀：場景1-3-10
尾幀：無</t>
    <phoneticPr fontId="3" type="noConversion"/>
  </si>
  <si>
    <t>從頭到尾固定主觀鏡頭，視角和圖一致，光影始終是4000K色溫，咖啡上的煙冉冉升起。</t>
    <phoneticPr fontId="3" type="noConversion"/>
  </si>
  <si>
    <t>有使用首尾幀技術，
首幀：場景1-3-11
尾幀：場景1-3-12</t>
    <phoneticPr fontId="3" type="noConversion"/>
  </si>
  <si>
    <t>畫面中的女性拿著流理台上的咖啡杯和木質杯墊走到書桌前，把木質杯墊放到桌子上後坐到椅子上，
過程中，咖啡杯上的煙始終在冉冉升起。</t>
    <phoneticPr fontId="3" type="noConversion"/>
  </si>
  <si>
    <t>實際片段3秒，直接完整使用。</t>
    <phoneticPr fontId="3" type="noConversion"/>
  </si>
  <si>
    <t>場景2-1</t>
    <phoneticPr fontId="3" type="noConversion"/>
  </si>
  <si>
    <t>場景2-2-3</t>
    <phoneticPr fontId="3" type="noConversion"/>
  </si>
  <si>
    <t>「 場景1-3-12」以這張圖為基礎，讓角色將她的畫面中右邊那隻手伸出畫面右側螢幕正上方。</t>
    <phoneticPr fontId="3" type="noConversion"/>
  </si>
  <si>
    <t>畫面中的女性表情始終呆滯，咖啡杯上的煙始終在冉冉升起，視角和鏡頭始終固定，光線也始終固定。</t>
    <phoneticPr fontId="3" type="noConversion"/>
  </si>
  <si>
    <t>實際片段3秒，擷取0-2秒來用。</t>
    <phoneticPr fontId="3" type="noConversion"/>
  </si>
  <si>
    <t>有使用首尾幀技術，
首幀：場景2-1
尾幀：場景2-2-1</t>
    <phoneticPr fontId="3" type="noConversion"/>
  </si>
  <si>
    <t>有使用首尾幀技術，
首幀：場景2-2-1
尾幀：無</t>
    <phoneticPr fontId="3" type="noConversion"/>
  </si>
  <si>
    <t>有使用首尾幀技術，
首幀：場景2-2-2
尾幀：場景2-2-3</t>
    <phoneticPr fontId="3" type="noConversion"/>
  </si>
  <si>
    <t>她兩手捧杯，靠回椅背，對著那道暖光，笑了。
不是給誰看的。是給自己的。
■ 旁白
女主內心獨白：「剛涼掉的是工作。這杯，是給我自己的。」</t>
    <phoneticPr fontId="3" type="noConversion"/>
  </si>
  <si>
    <t>AI給的腳本只有20秒，讓AI補足30秒的版本也不夠好，再人工用新增場景、擴寫場景的方式填補其餘10秒。有些台詞有讓人看不懂的可能性，所以有微調。
15秒的版本，將AI給的腳本進行部份刪減後，即可使用。</t>
    <phoneticPr fontId="3" type="noConversion"/>
  </si>
  <si>
    <t>擷取上一個場景的影片的最後一幀，並透過AI提高解晰度，並讓咖啡上的煙少掉四分之三。</t>
    <phoneticPr fontId="3" type="noConversion"/>
  </si>
  <si>
    <t>畫面中的女性表情從呆滯轉向燦爛地笑容，女性從頭到尾的姿態都是優雅的，接著出現溫柔女聲的旁白：「剛涼掉的是工作。這杯，是給我自己的。」
咖啡杯上有一些煙若隱若現地漂動著，視角、鏡頭、光線則始終一樣。</t>
    <phoneticPr fontId="3" type="noConversion"/>
  </si>
  <si>
    <t>第一步提示詞
以「場景2-2-3」為基礎，角色手上的咖啡放到鍵盤前的杯墊上，咖啡杯中需裝滿咖啡，咖啡上的煙再新增一半，刪掉角色和椅子，背後物件均保留。
第二步提示詞
以  「第一步產生的圖」 為基礎，新增 「人物全身圖」  中的人物，坐在  「無人物空間圖」  中的電腦椅，正面面向鏡頭在書桌前坐著，角色身上的光是右側照過來均勻散佈在角色身上的4000K光線，手上有一本未翻開的書，角色低頭看著手上的書微笑。</t>
    <phoneticPr fontId="3" type="noConversion"/>
  </si>
  <si>
    <t>「場景2-3-2」以此圖為基礎，讓角色手上的書闔上，角色兩手握在書的兩側，角色眼睛睜四分之一，嘴角不變</t>
    <phoneticPr fontId="3" type="noConversion"/>
  </si>
  <si>
    <t>有使用首尾幀技術，
首幀：場景2-2-3
尾幀：場景2-3-1</t>
    <phoneticPr fontId="3" type="noConversion"/>
  </si>
  <si>
    <t>畫面中的女子把咖啡杯放到桌上的杯墊後，站起身從畫面右邊離開，接著帶一本書回來坐在座位上，咖啡杯上的煙一直若隱若現地漂動著，
鏡頭、光線、背景從頭到尾均與「場景2-2-3」一致。</t>
    <phoneticPr fontId="3" type="noConversion"/>
  </si>
  <si>
    <t>有使用首尾幀技術，
首幀：場景2-3-1
尾幀：場景2-3-2</t>
    <phoneticPr fontId="3" type="noConversion"/>
  </si>
  <si>
    <t>鏡頭慢速zoom in，有溫柔女聲旁白：「不是檯燈。是我把工作桌，變回自己房間的那個 switch。」</t>
    <phoneticPr fontId="3" type="noConversion"/>
  </si>
  <si>
    <t>實際片段3秒，擷其中2秒來用。</t>
    <phoneticPr fontId="3" type="noConversion"/>
  </si>
  <si>
    <t>實際片段3秒，參照30秒版擷取相同的1秒片段。</t>
    <phoneticPr fontId="3" type="noConversion"/>
  </si>
  <si>
    <t>實際片段3秒，擷取其中1.5秒片段。</t>
    <phoneticPr fontId="3" type="noConversion"/>
  </si>
  <si>
    <t>實際片段3秒，擷取其中1秒片段。</t>
    <phoneticPr fontId="3" type="noConversion"/>
  </si>
  <si>
    <t>實際片段3秒，擷取0.5-1.5秒片段。</t>
    <phoneticPr fontId="3" type="noConversion"/>
  </si>
  <si>
    <t>實際片段3秒，參照30秒版，擷取1.5-3秒片段，但加速至1秒。</t>
    <phoneticPr fontId="3" type="noConversion"/>
  </si>
  <si>
    <t>[音效]新增一個倒水聲，音音來源：https://pixabay.com/sound-effects/film-special-effects-water-pouring-80316/</t>
    <phoneticPr fontId="3" type="noConversion"/>
  </si>
  <si>
    <t>倒水聲</t>
    <phoneticPr fontId="3" type="noConversion"/>
  </si>
  <si>
    <t>空調聲</t>
    <phoneticPr fontId="3" type="noConversion"/>
  </si>
  <si>
    <t>[音效]新增空調聲，來源：https://pixabay.com/sound-effects/technology-air-conditioner-in-car-83788/</t>
    <phoneticPr fontId="3" type="noConversion"/>
  </si>
  <si>
    <t>實際片段4秒，從水壺開始繞圈的片段擷取2秒。
音效部份，從追加音效「倒水聲」擷取適合的片段來用。</t>
    <phoneticPr fontId="3" type="noConversion"/>
  </si>
  <si>
    <t>實際片段4秒，擷取1.5-3.5秒片段。
音效部份，從追加音效「倒水聲」擷取適合的片段來用。</t>
    <phoneticPr fontId="3" type="noConversion"/>
  </si>
  <si>
    <t>[配音]透過Eleven Labs生產女主配音。</t>
    <phoneticPr fontId="3" type="noConversion"/>
  </si>
  <si>
    <t>場景3-1女主配音</t>
    <phoneticPr fontId="3" type="noConversion"/>
  </si>
  <si>
    <t>實際片段3秒，擷取1.5-3秒片段。
音效部份，從追加音效「空調聲」擷取適合的片段來用，並從「場景1-3-8」持續到「場景2-2-1」結束。</t>
    <phoneticPr fontId="3" type="noConversion"/>
  </si>
  <si>
    <t>lofi音樂</t>
    <phoneticPr fontId="3" type="noConversion"/>
  </si>
  <si>
    <t>[配樂]lofi音樂，來源：https://pixabay.com/music/beats-petals-in-the-rain-257986/</t>
    <phoneticPr fontId="3" type="noConversion"/>
  </si>
  <si>
    <t>實際片段3秒，擷其中2秒來用。
配樂部份，從追加配樂「lofi音樂」擷取適合的片段來用，並從「場景1-3-3」中間加入，再持續到「場景1-3-7」結束。</t>
    <phoneticPr fontId="3" type="noConversion"/>
  </si>
  <si>
    <t>[音效]敲擊木桌聲，來源：https://pixabay.com/sound-effects/film-special-effects-various-paper-and-hand-hitting-wooden-desk-sounds-70534/
[配樂]咖啡廳放鬆音樂，來源：https://pixabay.com/music/traditional-jazz-relaxing-jazz-podcast-coffee-shop-music-192283/</t>
    <phoneticPr fontId="3" type="noConversion"/>
  </si>
  <si>
    <t>敲擊木桌聲、咖啡廳放鬆音樂</t>
    <phoneticPr fontId="3" type="noConversion"/>
  </si>
  <si>
    <t>後來產生的圖角色一致性落差太大，有「場景2-2-3」這張最多相似圖的圖為參考，修正「場景2-3-1」中的角色外型。</t>
    <phoneticPr fontId="3" type="noConversion"/>
  </si>
  <si>
    <t>畫面中的女子翻開書，開始閱讀，女子始終微笑著，偶爾翻閱手上的書，咖啡杯上的煙一直若隱若現地漂動著，
鏡頭、光線、背景從頭到尾均與「場景2-3-1」一致。</t>
    <phoneticPr fontId="3" type="noConversion"/>
  </si>
  <si>
    <t>實際片段3秒，直接完整使用。
音效部份，追加音效「敲擊木桌聲」擷取其中第六個聲音來用。
配樂部份，從追加配樂「咖啡廳放鬆音樂」的2:27開始擷取適合時長的片段來用，並從「場景2-3-1」持續到「場景3-1」結束。</t>
    <phoneticPr fontId="3" type="noConversion"/>
  </si>
  <si>
    <t>實際片段3秒，只有0-1.5秒能使用，再擷取可用的0-1.5秒片段，並變速至2秒。</t>
    <phoneticPr fontId="3" type="noConversion"/>
  </si>
  <si>
    <t>展示商品。
■ 旁白
「不是檯燈。是我把工作桌，變回自己房間的那個 switch。」
■ 字卡
「陪你一起 switch 私人時間」</t>
    <phoneticPr fontId="3" type="noConversion"/>
  </si>
  <si>
    <t>實際片段3秒，直接完整使用，再放慢至4秒。
該片段最後要加上半透明黑幕、品牌logo和字卡，字卡內容為「陪你一起 switch 私人時間」</t>
    <phoneticPr fontId="3" type="noConversion"/>
  </si>
  <si>
    <t>實際片段3秒，完整使用。</t>
    <phoneticPr fontId="3" type="noConversion"/>
  </si>
  <si>
    <t>「場景1-1」只有1秒，會沒讓人發現「咖啡涼掉」這個重要事件，故刪掉此場景，多出時間給「場景1-1」</t>
    <phoneticPr fontId="3" type="noConversion"/>
  </si>
  <si>
    <t>不使用此片段。</t>
    <phoneticPr fontId="3" type="noConversion"/>
  </si>
  <si>
    <t>實際片段3秒，擷取0.5-1.5秒片段，但加速至0.5秒。</t>
    <phoneticPr fontId="3" type="noConversion"/>
  </si>
  <si>
    <t>場景2-2-2女主配音-第一版、場景2-2-2女主配音-第二版</t>
    <phoneticPr fontId="3" type="noConversion"/>
  </si>
  <si>
    <t>實際片段3秒，完整使用，但加速至2.5秒。</t>
    <phoneticPr fontId="3" type="noConversion"/>
  </si>
  <si>
    <t>實際片段3秒，擷取0-1秒來用。</t>
    <phoneticPr fontId="3" type="noConversion"/>
  </si>
  <si>
    <t>[配音]透過Eleven Labs生產女主配音。
一開始配音的台詞，後來覺得太不吉利，怕被誤讀為「工作涼掉」的意思，故把台詞修改成更生活化的「涼掉的咖啡給工作時間。這杯，是給我自己的。」，再重新配音成第二版。</t>
    <phoneticPr fontId="3" type="noConversion"/>
  </si>
  <si>
    <t>平台</t>
  </si>
  <si>
    <t>產關鍵幀點數</t>
    <phoneticPr fontId="3" type="noConversion"/>
  </si>
  <si>
    <t>產影片點數(含補圖)</t>
    <phoneticPr fontId="3" type="noConversion"/>
  </si>
  <si>
    <t>總點數</t>
  </si>
  <si>
    <t>點數單價(USD)</t>
    <phoneticPr fontId="3" type="noConversion"/>
  </si>
  <si>
    <t>成本(USD)</t>
    <phoneticPr fontId="3" type="noConversion"/>
  </si>
  <si>
    <t>總成本(USD)</t>
    <phoneticPr fontId="3" type="noConversion"/>
  </si>
  <si>
    <t>總花費時間(hr)</t>
    <phoneticPr fontId="3" type="noConversion"/>
  </si>
  <si>
    <t>Kling</t>
  </si>
  <si>
    <t>Higgsfield</t>
  </si>
  <si>
    <t>廣告開發實驗與優化反思</t>
    <phoneticPr fontId="3" type="noConversion"/>
  </si>
  <si>
    <t>第二輪廣告策略</t>
    <phoneticPr fontId="3" type="noConversion"/>
  </si>
  <si>
    <t>下列內容是從「廣告 AB 測試分析」報告中的「第二輪廣告策略」抽取出重要要素。另，「第二輪廣告策略」各策略的來源，是排除首輪廣告後，延用第一份「市場調查報告」中的其餘行銷方向。</t>
    <phoneticPr fontId="3" type="noConversion"/>
  </si>
  <si>
    <t>主推原因，是因為此方向跟第一輪勝出廣告的情緒定位最連貫，目標受眾非部份重疊而是完全重疊（WFH 專業者），複製成功經驗的機率最高、風險最低。</t>
    <phoneticPr fontId="3" type="noConversion"/>
  </si>
  <si>
    <t>商品品牌：喜光全光譜
商品型號：SY-FS10-18WH/BL
參考網址：
https://www.momoshop.com.tw/goods/GoodsDetail.jsp?i_code=13104643</t>
    <phoneticPr fontId="3" type="noConversion"/>
  </si>
  <si>
    <t>實際片段4秒，參照30秒版，擷取2-3.5秒片段。
配樂部份，從追加配樂「lofi音樂」擷取適合的片段來用，並從「場景1-3-6」中間加入，再持續到「場景2-1」結束。</t>
    <phoneticPr fontId="3" type="noConversion"/>
  </si>
  <si>
    <t>實際片段3秒，直接完整使用。
配樂部份，從追加配樂「咖啡廳放鬆音樂」的2:27開始擷取適合時長的片段來用，持續到該場景結束。</t>
    <phoneticPr fontId="3" type="noConversion"/>
  </si>
  <si>
    <t xml:space="preserve">Reels/Story 15-30s </t>
    <phoneticPr fontId="3" type="noConversion"/>
  </si>
  <si>
    <t>第二輪廣告的素材成本與製作時間增加，主要反映於生成品質優化與敘事強化過程。
首先，為降低影像清晰度對輸出品質的影響，部分素材改以 4K 解析度生成；
其次，為提升角色一致性，嘗試以三視圖方式建立人物參考，但實際效果未如預期，因此後續調整為以首輪主要場景作為角色參考基準，以提高生成穩定性。
此外，TA特性偏重生活品質導向，因此本次希望強化「下班後切回個人生活」的情緒轉換感受。基於此，新增生活儀式感場景設計，用以提升使用情境的沉浸感與敘事完整性。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</si>
</sst>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charset val="1"/>
    </font>
    <font>
      <sz val="11"/>
      <color theme="1"/>
      <name val="Microsoft JhengHei UI Light"/>
      <family val="2"/>
      <charset val="136"/>
    </font>
    <font>
      <sz val="11"/>
      <color theme="1"/>
      <name val="DejaVu Sans"/>
      <family val="2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1"/>
      <name val="Microsoft JhengHei UI Light"/>
      <family val="2"/>
      <charset val="136"/>
    </font>
    <font>
      <sz val="11"/>
      <name val="Microsoft JhengHei UI Light"/>
      <family val="2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98E0-DAC1-440E-A511-0DC840DD6306}">
  <dimension ref="A1:K39"/>
  <sheetViews>
    <sheetView tabSelected="1" workbookViewId="0">
      <selection activeCell="G9" sqref="G9"/>
    </sheetView>
  </sheetViews>
  <sheetFormatPr defaultColWidth="9.140625" defaultRowHeight="15"/>
  <cols>
    <col min="1" max="1" width="13" style="4" bestFit="1" customWidth="1"/>
    <col min="2" max="2" width="10.5703125" style="4" bestFit="1" customWidth="1"/>
    <col min="3" max="3" width="26.85546875" style="4" customWidth="1"/>
    <col min="4" max="4" width="32.42578125" style="4" customWidth="1"/>
    <col min="5" max="9" width="25.7109375" style="4" customWidth="1"/>
    <col min="10" max="10" width="32.28515625" style="4" customWidth="1"/>
    <col min="11" max="11" width="25.7109375" style="4" customWidth="1"/>
    <col min="12" max="16384" width="9.140625" style="4"/>
  </cols>
  <sheetData>
    <row r="1" spans="1:11">
      <c r="A1" s="35" t="s">
        <v>202</v>
      </c>
      <c r="B1" s="35"/>
      <c r="C1" s="35"/>
      <c r="D1" s="35"/>
      <c r="E1" s="35"/>
      <c r="F1" s="35"/>
      <c r="G1" s="35"/>
      <c r="H1" s="35"/>
    </row>
    <row r="2" spans="1:11">
      <c r="A2" s="8"/>
      <c r="B2" s="8"/>
      <c r="C2" s="8"/>
      <c r="D2" s="8"/>
      <c r="E2" s="8"/>
      <c r="F2" s="8"/>
      <c r="G2" s="8"/>
      <c r="H2" s="8"/>
    </row>
    <row r="3" spans="1:11">
      <c r="A3" s="8"/>
      <c r="B3" s="8"/>
      <c r="C3" s="8"/>
      <c r="D3" s="8"/>
      <c r="E3" s="8"/>
      <c r="F3" s="8"/>
      <c r="G3" s="8"/>
      <c r="H3" s="8"/>
    </row>
    <row r="4" spans="1:11">
      <c r="A4" s="8"/>
      <c r="B4" s="8"/>
      <c r="C4" s="8"/>
      <c r="D4" s="8"/>
      <c r="E4" s="8"/>
      <c r="F4" s="8"/>
      <c r="G4" s="8"/>
      <c r="H4" s="8"/>
    </row>
    <row r="5" spans="1:11" ht="15.75" customHeight="1">
      <c r="A5" s="37" t="s">
        <v>201</v>
      </c>
      <c r="B5" s="38"/>
      <c r="C5" s="38"/>
      <c r="D5" s="38"/>
      <c r="E5" s="38"/>
      <c r="F5" s="38"/>
      <c r="G5" s="38"/>
      <c r="H5" s="38"/>
      <c r="I5" s="38"/>
      <c r="J5" s="39"/>
      <c r="K5" s="12"/>
    </row>
    <row r="6" spans="1:11">
      <c r="A6" s="5" t="s">
        <v>22</v>
      </c>
      <c r="B6" s="5" t="s">
        <v>24</v>
      </c>
      <c r="C6" s="5" t="s">
        <v>40</v>
      </c>
      <c r="D6" s="5" t="s">
        <v>32</v>
      </c>
      <c r="E6" s="5" t="s">
        <v>27</v>
      </c>
      <c r="F6" s="5" t="s">
        <v>23</v>
      </c>
      <c r="G6" s="5" t="s">
        <v>30</v>
      </c>
      <c r="H6" s="5" t="s">
        <v>41</v>
      </c>
      <c r="I6" s="5" t="s">
        <v>37</v>
      </c>
      <c r="J6" s="5" t="s">
        <v>39</v>
      </c>
    </row>
    <row r="7" spans="1:11" ht="75">
      <c r="A7" s="5" t="s">
        <v>25</v>
      </c>
      <c r="B7" s="5" t="s">
        <v>35</v>
      </c>
      <c r="C7" s="5" t="s">
        <v>36</v>
      </c>
      <c r="D7" s="5" t="s">
        <v>26</v>
      </c>
      <c r="E7" s="5" t="s">
        <v>28</v>
      </c>
      <c r="F7" s="5" t="s">
        <v>48</v>
      </c>
      <c r="G7" s="5" t="s">
        <v>207</v>
      </c>
      <c r="H7" s="5" t="s">
        <v>29</v>
      </c>
      <c r="I7" s="5" t="s">
        <v>38</v>
      </c>
      <c r="J7" s="5" t="s">
        <v>203</v>
      </c>
    </row>
    <row r="13" spans="1:11">
      <c r="A13" s="36" t="s">
        <v>33</v>
      </c>
      <c r="B13" s="36"/>
      <c r="C13" s="36"/>
      <c r="D13" s="36"/>
      <c r="E13" s="36"/>
      <c r="F13" s="36"/>
      <c r="G13" s="36"/>
      <c r="H13" s="36"/>
    </row>
    <row r="14" spans="1:11" ht="15" customHeight="1">
      <c r="A14" s="42" t="s">
        <v>34</v>
      </c>
      <c r="B14" s="42"/>
      <c r="C14" s="43"/>
      <c r="D14" s="43"/>
      <c r="E14" s="43"/>
      <c r="F14" s="42" t="s">
        <v>31</v>
      </c>
      <c r="G14" s="42"/>
      <c r="H14" s="42"/>
    </row>
    <row r="15" spans="1:11" ht="99.75" customHeight="1">
      <c r="A15" s="44" t="s">
        <v>8</v>
      </c>
      <c r="B15" s="44"/>
      <c r="C15" s="44"/>
      <c r="D15" s="44"/>
      <c r="E15" s="44"/>
      <c r="F15" s="44" t="s">
        <v>204</v>
      </c>
      <c r="G15" s="44"/>
      <c r="H15" s="44"/>
    </row>
    <row r="16" spans="1:11" ht="15" customHeight="1">
      <c r="G16" s="12"/>
      <c r="I16" s="12"/>
    </row>
    <row r="17" spans="7:9" ht="15" customHeight="1">
      <c r="G17" s="12"/>
      <c r="I17" s="12"/>
    </row>
    <row r="18" spans="7:9" ht="15" customHeight="1">
      <c r="G18" s="12"/>
      <c r="I18" s="12"/>
    </row>
    <row r="19" spans="7:9" ht="15" customHeight="1">
      <c r="G19" s="12"/>
      <c r="I19" s="12"/>
    </row>
    <row r="20" spans="7:9" ht="15" customHeight="1">
      <c r="G20" s="12"/>
      <c r="I20" s="12"/>
    </row>
    <row r="21" spans="7:9" ht="15" customHeight="1">
      <c r="G21" s="12"/>
      <c r="I21" s="12"/>
    </row>
    <row r="22" spans="7:9" ht="15" customHeight="1">
      <c r="G22" s="12"/>
      <c r="I22" s="12"/>
    </row>
    <row r="23" spans="7:9" ht="15" customHeight="1">
      <c r="G23" s="12"/>
      <c r="I23" s="12"/>
    </row>
    <row r="24" spans="7:9" ht="15" customHeight="1">
      <c r="G24" s="12"/>
      <c r="H24" s="12"/>
      <c r="I24" s="12"/>
    </row>
    <row r="38" spans="1:5">
      <c r="A38" s="40" t="s">
        <v>7</v>
      </c>
      <c r="B38" s="40"/>
      <c r="C38" s="41"/>
      <c r="D38" s="41"/>
      <c r="E38" s="41"/>
    </row>
    <row r="39" spans="1:5">
      <c r="A39" s="4" t="s">
        <v>9</v>
      </c>
    </row>
  </sheetData>
  <mergeCells count="7">
    <mergeCell ref="A13:H13"/>
    <mergeCell ref="A5:J5"/>
    <mergeCell ref="A38:E38"/>
    <mergeCell ref="A14:E14"/>
    <mergeCell ref="A15:E15"/>
    <mergeCell ref="F14:H14"/>
    <mergeCell ref="F15:H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zoomScaleNormal="100" workbookViewId="0">
      <selection activeCell="A4" sqref="A4"/>
    </sheetView>
  </sheetViews>
  <sheetFormatPr defaultColWidth="8.5703125" defaultRowHeight="15.75"/>
  <cols>
    <col min="1" max="1" width="18.140625" style="6" customWidth="1"/>
    <col min="2" max="2" width="79.140625" customWidth="1"/>
    <col min="3" max="3" width="82.140625" customWidth="1"/>
    <col min="4" max="4" width="20" customWidth="1"/>
    <col min="5" max="5" width="40" customWidth="1"/>
  </cols>
  <sheetData>
    <row r="1" spans="1:5">
      <c r="A1" s="1" t="s">
        <v>6</v>
      </c>
      <c r="B1" s="9" t="s">
        <v>43</v>
      </c>
      <c r="C1" s="7" t="s">
        <v>45</v>
      </c>
      <c r="D1" s="3" t="s">
        <v>10</v>
      </c>
      <c r="E1" s="3" t="s">
        <v>11</v>
      </c>
    </row>
    <row r="2" spans="1:5" ht="409.5" customHeight="1">
      <c r="A2" s="24" t="s">
        <v>25</v>
      </c>
      <c r="B2" s="24" t="s">
        <v>42</v>
      </c>
      <c r="C2" s="24" t="s">
        <v>44</v>
      </c>
      <c r="D2" s="24" t="s">
        <v>46</v>
      </c>
      <c r="E2" s="2" t="s">
        <v>47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zoomScaleNormal="100" workbookViewId="0">
      <selection activeCell="B2" sqref="B2"/>
    </sheetView>
  </sheetViews>
  <sheetFormatPr defaultColWidth="9.140625" defaultRowHeight="15"/>
  <cols>
    <col min="1" max="1" width="16.42578125" style="8" customWidth="1"/>
    <col min="2" max="2" width="85.42578125" style="8" bestFit="1" customWidth="1"/>
    <col min="3" max="3" width="67.5703125" style="8" customWidth="1"/>
    <col min="4" max="4" width="34.140625" style="8" customWidth="1"/>
    <col min="5" max="5" width="30" style="8" customWidth="1"/>
    <col min="6" max="6" width="35.140625" style="8" customWidth="1"/>
    <col min="7" max="10" width="9.140625" style="8" customWidth="1"/>
    <col min="11" max="16384" width="9.140625" style="8"/>
  </cols>
  <sheetData>
    <row r="1" spans="1:6">
      <c r="A1" s="1" t="s">
        <v>6</v>
      </c>
      <c r="B1" s="24" t="s">
        <v>50</v>
      </c>
      <c r="C1" s="7" t="s">
        <v>12</v>
      </c>
      <c r="D1" s="7" t="s">
        <v>13</v>
      </c>
      <c r="E1" s="10" t="s">
        <v>69</v>
      </c>
      <c r="F1" s="10" t="s">
        <v>39</v>
      </c>
    </row>
    <row r="2" spans="1:6" ht="409.5" customHeight="1">
      <c r="A2" s="24" t="s">
        <v>25</v>
      </c>
      <c r="B2" s="23" t="s">
        <v>49</v>
      </c>
      <c r="C2" s="5" t="s">
        <v>56</v>
      </c>
      <c r="D2" s="5" t="s">
        <v>147</v>
      </c>
      <c r="E2" s="5" t="s">
        <v>70</v>
      </c>
      <c r="F2" s="5" t="s">
        <v>51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topLeftCell="D1" zoomScaleNormal="100" workbookViewId="0">
      <pane ySplit="1" topLeftCell="A21" activePane="bottomLeft" state="frozen"/>
      <selection pane="bottomLeft" activeCell="H22" sqref="H22"/>
    </sheetView>
  </sheetViews>
  <sheetFormatPr defaultColWidth="8.5703125" defaultRowHeight="15.75"/>
  <cols>
    <col min="1" max="1" width="10.85546875" customWidth="1"/>
    <col min="2" max="2" width="10" style="11" customWidth="1"/>
    <col min="3" max="3" width="27" customWidth="1"/>
    <col min="4" max="4" width="38.28515625" customWidth="1"/>
    <col min="5" max="5" width="18.42578125" customWidth="1"/>
    <col min="6" max="6" width="15.42578125" style="11" bestFit="1" customWidth="1"/>
    <col min="7" max="7" width="42.7109375" customWidth="1"/>
    <col min="8" max="8" width="20.85546875" bestFit="1" customWidth="1"/>
    <col min="9" max="9" width="13.7109375" style="29" customWidth="1"/>
    <col min="10" max="10" width="13.7109375" style="26" customWidth="1"/>
    <col min="11" max="11" width="15.42578125" bestFit="1" customWidth="1"/>
    <col min="12" max="12" width="22.85546875" style="4" customWidth="1"/>
    <col min="13" max="13" width="22.5703125" style="4" customWidth="1"/>
    <col min="14" max="14" width="22.5703125" customWidth="1"/>
    <col min="15" max="15" width="20.42578125" customWidth="1"/>
  </cols>
  <sheetData>
    <row r="1" spans="1:15" ht="30">
      <c r="A1" s="13" t="s">
        <v>0</v>
      </c>
      <c r="B1" s="14" t="s">
        <v>1</v>
      </c>
      <c r="C1" s="5" t="s">
        <v>2</v>
      </c>
      <c r="D1" s="10" t="s">
        <v>15</v>
      </c>
      <c r="E1" s="10" t="s">
        <v>16</v>
      </c>
      <c r="F1" s="27" t="s">
        <v>3</v>
      </c>
      <c r="G1" s="10" t="s">
        <v>4</v>
      </c>
      <c r="H1" s="10" t="s">
        <v>19</v>
      </c>
      <c r="I1" s="2" t="s">
        <v>65</v>
      </c>
      <c r="J1" s="2" t="s">
        <v>66</v>
      </c>
      <c r="K1" s="10" t="s">
        <v>5</v>
      </c>
      <c r="L1" s="5" t="s">
        <v>20</v>
      </c>
      <c r="M1" s="5" t="s">
        <v>21</v>
      </c>
      <c r="N1" s="10" t="s">
        <v>67</v>
      </c>
      <c r="O1" s="10" t="s">
        <v>68</v>
      </c>
    </row>
    <row r="2" spans="1:15" ht="90">
      <c r="A2" s="15" t="s">
        <v>52</v>
      </c>
      <c r="B2" s="16" t="s">
        <v>58</v>
      </c>
      <c r="C2" s="17" t="s">
        <v>57</v>
      </c>
      <c r="D2" s="17" t="s">
        <v>107</v>
      </c>
      <c r="E2" s="17"/>
      <c r="F2" s="28" t="s">
        <v>106</v>
      </c>
      <c r="G2" s="17" t="s">
        <v>113</v>
      </c>
      <c r="H2" s="17" t="s">
        <v>115</v>
      </c>
      <c r="I2" s="15">
        <v>3</v>
      </c>
      <c r="J2" s="15">
        <v>3</v>
      </c>
      <c r="K2" s="17" t="s">
        <v>114</v>
      </c>
      <c r="L2" s="5"/>
      <c r="M2" s="17"/>
      <c r="N2" s="22" t="s">
        <v>182</v>
      </c>
      <c r="O2" s="22" t="s">
        <v>182</v>
      </c>
    </row>
    <row r="3" spans="1:15" ht="180">
      <c r="A3" s="15"/>
      <c r="B3" s="16"/>
      <c r="C3" s="17"/>
      <c r="D3" s="17" t="s">
        <v>71</v>
      </c>
      <c r="E3" s="17"/>
      <c r="F3" s="28" t="s">
        <v>105</v>
      </c>
      <c r="G3" s="17"/>
      <c r="H3" s="17"/>
      <c r="I3" s="15"/>
      <c r="J3" s="15"/>
      <c r="K3" s="17"/>
      <c r="L3" s="5"/>
      <c r="M3" s="17"/>
      <c r="N3" s="17"/>
      <c r="O3" s="17"/>
    </row>
    <row r="4" spans="1:15" ht="105">
      <c r="A4" s="15"/>
      <c r="B4" s="16" t="s">
        <v>59</v>
      </c>
      <c r="C4" s="17" t="s">
        <v>63</v>
      </c>
      <c r="D4" s="17" t="s">
        <v>102</v>
      </c>
      <c r="E4" s="17" t="s">
        <v>73</v>
      </c>
      <c r="F4" s="28" t="s">
        <v>72</v>
      </c>
      <c r="G4" s="17" t="s">
        <v>117</v>
      </c>
      <c r="H4" s="17" t="s">
        <v>118</v>
      </c>
      <c r="I4" s="25"/>
      <c r="J4" s="25"/>
      <c r="K4" s="17" t="s">
        <v>72</v>
      </c>
      <c r="L4" s="5"/>
      <c r="M4" s="17"/>
      <c r="N4" s="17" t="s">
        <v>183</v>
      </c>
      <c r="O4" s="17" t="s">
        <v>184</v>
      </c>
    </row>
    <row r="5" spans="1:15" ht="90">
      <c r="A5" s="15"/>
      <c r="B5" s="16" t="s">
        <v>60</v>
      </c>
      <c r="C5" s="17" t="s">
        <v>53</v>
      </c>
      <c r="D5" s="17" t="s">
        <v>74</v>
      </c>
      <c r="E5" s="17"/>
      <c r="F5" s="28" t="s">
        <v>77</v>
      </c>
      <c r="G5" s="22" t="s">
        <v>116</v>
      </c>
      <c r="H5" s="22" t="s">
        <v>119</v>
      </c>
      <c r="I5" s="21"/>
      <c r="J5" s="21"/>
      <c r="K5" s="22" t="s">
        <v>77</v>
      </c>
      <c r="L5" s="5"/>
      <c r="M5" s="22"/>
      <c r="N5" s="17" t="s">
        <v>183</v>
      </c>
      <c r="O5" s="17" t="s">
        <v>184</v>
      </c>
    </row>
    <row r="6" spans="1:15" ht="60">
      <c r="A6" s="20"/>
      <c r="B6" s="18"/>
      <c r="C6" s="19"/>
      <c r="D6" s="17" t="s">
        <v>75</v>
      </c>
      <c r="E6" s="17"/>
      <c r="F6" s="28" t="s">
        <v>76</v>
      </c>
      <c r="G6" s="22" t="s">
        <v>121</v>
      </c>
      <c r="H6" s="22" t="s">
        <v>120</v>
      </c>
      <c r="I6" s="21">
        <v>1</v>
      </c>
      <c r="J6" s="21">
        <v>1</v>
      </c>
      <c r="K6" s="17" t="s">
        <v>76</v>
      </c>
      <c r="L6" s="5"/>
      <c r="M6" s="22"/>
      <c r="N6" s="22" t="s">
        <v>122</v>
      </c>
      <c r="O6" s="22" t="s">
        <v>157</v>
      </c>
    </row>
    <row r="7" spans="1:15" ht="210">
      <c r="A7" s="20"/>
      <c r="B7" s="18"/>
      <c r="C7" s="19"/>
      <c r="D7" s="17" t="s">
        <v>79</v>
      </c>
      <c r="E7" s="17" t="s">
        <v>78</v>
      </c>
      <c r="F7" s="28" t="s">
        <v>80</v>
      </c>
      <c r="G7" s="22" t="s">
        <v>124</v>
      </c>
      <c r="H7" s="22" t="s">
        <v>123</v>
      </c>
      <c r="I7" s="21">
        <v>2</v>
      </c>
      <c r="J7" s="21"/>
      <c r="K7" s="22" t="s">
        <v>80</v>
      </c>
      <c r="L7" s="5" t="s">
        <v>172</v>
      </c>
      <c r="M7" s="22" t="s">
        <v>171</v>
      </c>
      <c r="N7" s="22" t="s">
        <v>173</v>
      </c>
      <c r="O7" s="17" t="s">
        <v>184</v>
      </c>
    </row>
    <row r="8" spans="1:15" ht="75">
      <c r="A8" s="20"/>
      <c r="B8" s="18"/>
      <c r="C8" s="19"/>
      <c r="D8" s="17" t="s">
        <v>81</v>
      </c>
      <c r="E8" s="17"/>
      <c r="F8" s="28" t="s">
        <v>82</v>
      </c>
      <c r="G8" s="22" t="s">
        <v>125</v>
      </c>
      <c r="H8" s="22" t="s">
        <v>126</v>
      </c>
      <c r="I8" s="21"/>
      <c r="J8" s="21"/>
      <c r="K8" s="22"/>
      <c r="L8" s="5"/>
      <c r="M8" s="22"/>
      <c r="N8" s="22"/>
      <c r="O8" s="22"/>
    </row>
    <row r="9" spans="1:15" ht="105">
      <c r="A9" s="20"/>
      <c r="B9" s="18"/>
      <c r="C9" s="19"/>
      <c r="D9" s="17" t="s">
        <v>86</v>
      </c>
      <c r="E9" s="17"/>
      <c r="F9" s="28" t="s">
        <v>84</v>
      </c>
      <c r="G9" s="22" t="s">
        <v>130</v>
      </c>
      <c r="H9" s="22" t="s">
        <v>127</v>
      </c>
      <c r="I9" s="21">
        <v>2</v>
      </c>
      <c r="J9" s="21"/>
      <c r="K9" s="22" t="s">
        <v>82</v>
      </c>
      <c r="L9" s="5" t="s">
        <v>162</v>
      </c>
      <c r="M9" s="22" t="s">
        <v>163</v>
      </c>
      <c r="N9" s="22" t="s">
        <v>166</v>
      </c>
      <c r="O9" s="17" t="s">
        <v>184</v>
      </c>
    </row>
    <row r="10" spans="1:15" ht="45">
      <c r="A10" s="20"/>
      <c r="B10" s="18"/>
      <c r="C10" s="19"/>
      <c r="D10" s="17" t="s">
        <v>90</v>
      </c>
      <c r="E10" s="17"/>
      <c r="F10" s="28" t="s">
        <v>85</v>
      </c>
      <c r="G10" s="22"/>
      <c r="H10" s="22"/>
      <c r="I10" s="21"/>
      <c r="J10" s="21"/>
      <c r="K10" s="22"/>
      <c r="L10" s="5"/>
      <c r="M10" s="22"/>
      <c r="N10" s="22"/>
      <c r="O10" s="22"/>
    </row>
    <row r="11" spans="1:15" ht="120">
      <c r="A11" s="20"/>
      <c r="B11" s="18"/>
      <c r="C11" s="19"/>
      <c r="D11" s="17" t="s">
        <v>83</v>
      </c>
      <c r="E11" s="17"/>
      <c r="F11" s="28" t="s">
        <v>87</v>
      </c>
      <c r="G11" s="22" t="s">
        <v>129</v>
      </c>
      <c r="H11" s="22" t="s">
        <v>128</v>
      </c>
      <c r="I11" s="21">
        <v>2</v>
      </c>
      <c r="J11" s="21"/>
      <c r="K11" s="22" t="s">
        <v>84</v>
      </c>
      <c r="L11" s="5"/>
      <c r="M11" s="22"/>
      <c r="N11" s="22" t="s">
        <v>156</v>
      </c>
      <c r="O11" s="17" t="s">
        <v>184</v>
      </c>
    </row>
    <row r="12" spans="1:15" ht="60">
      <c r="A12" s="20"/>
      <c r="B12" s="18"/>
      <c r="C12" s="19"/>
      <c r="D12" s="17" t="s">
        <v>88</v>
      </c>
      <c r="E12" s="17"/>
      <c r="F12" s="28" t="s">
        <v>89</v>
      </c>
      <c r="G12" s="22"/>
      <c r="H12" s="22"/>
      <c r="I12" s="21"/>
      <c r="J12" s="21"/>
      <c r="K12" s="22"/>
      <c r="L12" s="5"/>
      <c r="M12" s="22"/>
      <c r="N12" s="22"/>
      <c r="O12" s="22"/>
    </row>
    <row r="13" spans="1:15" ht="150">
      <c r="A13" s="20"/>
      <c r="B13" s="18"/>
      <c r="C13" s="19"/>
      <c r="D13" s="17" t="s">
        <v>91</v>
      </c>
      <c r="E13" s="17"/>
      <c r="F13" s="28" t="s">
        <v>92</v>
      </c>
      <c r="G13" s="22" t="s">
        <v>132</v>
      </c>
      <c r="H13" s="22" t="s">
        <v>131</v>
      </c>
      <c r="I13" s="21">
        <v>2</v>
      </c>
      <c r="J13" s="21">
        <v>1.5</v>
      </c>
      <c r="K13" s="22" t="s">
        <v>85</v>
      </c>
      <c r="L13" s="5"/>
      <c r="M13" s="22"/>
      <c r="N13" s="22" t="s">
        <v>167</v>
      </c>
      <c r="O13" s="22" t="s">
        <v>205</v>
      </c>
    </row>
    <row r="14" spans="1:15" ht="60">
      <c r="A14" s="20"/>
      <c r="B14" s="18"/>
      <c r="C14" s="19"/>
      <c r="D14" s="17" t="s">
        <v>103</v>
      </c>
      <c r="E14" s="17"/>
      <c r="F14" s="28" t="s">
        <v>93</v>
      </c>
      <c r="G14" s="22" t="s">
        <v>134</v>
      </c>
      <c r="H14" s="22" t="s">
        <v>133</v>
      </c>
      <c r="I14" s="21">
        <v>1.5</v>
      </c>
      <c r="J14" s="21">
        <v>1</v>
      </c>
      <c r="K14" s="22" t="s">
        <v>87</v>
      </c>
      <c r="L14" s="5"/>
      <c r="M14" s="22"/>
      <c r="N14" s="22" t="s">
        <v>158</v>
      </c>
      <c r="O14" s="22" t="s">
        <v>159</v>
      </c>
    </row>
    <row r="15" spans="1:15" ht="120">
      <c r="A15" s="20"/>
      <c r="B15" s="18"/>
      <c r="C15" s="19"/>
      <c r="D15" s="17" t="s">
        <v>104</v>
      </c>
      <c r="E15" s="17" t="s">
        <v>97</v>
      </c>
      <c r="F15" s="28" t="s">
        <v>94</v>
      </c>
      <c r="G15" s="17" t="s">
        <v>136</v>
      </c>
      <c r="H15" s="17" t="s">
        <v>135</v>
      </c>
      <c r="I15" s="15">
        <v>1.5</v>
      </c>
      <c r="J15" s="15">
        <v>1</v>
      </c>
      <c r="K15" s="17" t="s">
        <v>89</v>
      </c>
      <c r="L15" s="17" t="s">
        <v>165</v>
      </c>
      <c r="M15" s="17" t="s">
        <v>164</v>
      </c>
      <c r="N15" s="22" t="s">
        <v>170</v>
      </c>
      <c r="O15" s="22" t="s">
        <v>161</v>
      </c>
    </row>
    <row r="16" spans="1:15" ht="90">
      <c r="A16" s="20"/>
      <c r="B16" s="18"/>
      <c r="C16" s="19"/>
      <c r="D16" s="17" t="s">
        <v>95</v>
      </c>
      <c r="E16" s="17"/>
      <c r="F16" s="28" t="s">
        <v>96</v>
      </c>
      <c r="G16" s="17"/>
      <c r="H16" s="17"/>
      <c r="I16" s="15"/>
      <c r="J16" s="15"/>
      <c r="K16" s="17"/>
      <c r="L16" s="5"/>
      <c r="M16" s="22"/>
      <c r="N16" s="22"/>
      <c r="O16" s="22"/>
    </row>
    <row r="17" spans="1:15" ht="75">
      <c r="A17" s="20" t="s">
        <v>54</v>
      </c>
      <c r="B17" s="18" t="s">
        <v>17</v>
      </c>
      <c r="C17" s="19" t="s">
        <v>61</v>
      </c>
      <c r="D17" s="17" t="s">
        <v>140</v>
      </c>
      <c r="E17" s="17"/>
      <c r="F17" s="28" t="s">
        <v>138</v>
      </c>
      <c r="G17" s="17" t="s">
        <v>64</v>
      </c>
      <c r="H17" s="32" t="s">
        <v>143</v>
      </c>
      <c r="I17" s="30">
        <v>1</v>
      </c>
      <c r="J17" s="15">
        <v>0.5</v>
      </c>
      <c r="K17" s="17" t="s">
        <v>138</v>
      </c>
      <c r="L17" s="17"/>
      <c r="M17" s="17"/>
      <c r="N17" s="22" t="s">
        <v>160</v>
      </c>
      <c r="O17" s="22" t="s">
        <v>185</v>
      </c>
    </row>
    <row r="18" spans="1:15" ht="135">
      <c r="A18" s="20"/>
      <c r="B18" s="18" t="s">
        <v>62</v>
      </c>
      <c r="C18" s="19" t="s">
        <v>146</v>
      </c>
      <c r="D18" s="17" t="s">
        <v>98</v>
      </c>
      <c r="E18" s="17"/>
      <c r="F18" s="28" t="s">
        <v>99</v>
      </c>
      <c r="G18" s="17" t="s">
        <v>141</v>
      </c>
      <c r="H18" s="17" t="s">
        <v>144</v>
      </c>
      <c r="I18" s="15">
        <v>2</v>
      </c>
      <c r="J18" s="15">
        <v>1</v>
      </c>
      <c r="K18" s="17" t="s">
        <v>99</v>
      </c>
      <c r="L18" s="17"/>
      <c r="M18" s="17"/>
      <c r="N18" s="17" t="s">
        <v>142</v>
      </c>
      <c r="O18" s="17" t="s">
        <v>188</v>
      </c>
    </row>
    <row r="19" spans="1:15" ht="150">
      <c r="A19" s="20"/>
      <c r="B19" s="18"/>
      <c r="C19" s="19"/>
      <c r="D19" s="17"/>
      <c r="E19" s="17" t="s">
        <v>148</v>
      </c>
      <c r="F19" s="28" t="s">
        <v>101</v>
      </c>
      <c r="G19" s="17" t="s">
        <v>149</v>
      </c>
      <c r="H19" s="17" t="s">
        <v>145</v>
      </c>
      <c r="I19" s="15">
        <v>3</v>
      </c>
      <c r="J19" s="15">
        <v>2.5</v>
      </c>
      <c r="K19" s="17" t="s">
        <v>101</v>
      </c>
      <c r="L19" s="17" t="s">
        <v>189</v>
      </c>
      <c r="M19" s="17" t="s">
        <v>186</v>
      </c>
      <c r="N19" s="17" t="s">
        <v>137</v>
      </c>
      <c r="O19" s="17" t="s">
        <v>187</v>
      </c>
    </row>
    <row r="20" spans="1:15" ht="45">
      <c r="A20" s="20"/>
      <c r="B20" s="18"/>
      <c r="C20" s="19"/>
      <c r="D20" s="17" t="s">
        <v>100</v>
      </c>
      <c r="E20" s="17"/>
      <c r="F20" s="28" t="s">
        <v>139</v>
      </c>
      <c r="G20" s="17"/>
      <c r="H20" s="17"/>
      <c r="I20" s="30"/>
      <c r="J20" s="33"/>
      <c r="K20" s="31"/>
      <c r="L20" s="5"/>
      <c r="M20" s="5"/>
      <c r="N20" s="31"/>
      <c r="O20" s="31"/>
    </row>
    <row r="21" spans="1:15" ht="240">
      <c r="A21" s="20"/>
      <c r="B21" s="18" t="s">
        <v>18</v>
      </c>
      <c r="C21" s="19" t="s">
        <v>108</v>
      </c>
      <c r="D21" s="17" t="s">
        <v>151</v>
      </c>
      <c r="E21" s="17" t="s">
        <v>176</v>
      </c>
      <c r="F21" s="28" t="s">
        <v>110</v>
      </c>
      <c r="G21" s="17" t="s">
        <v>153</v>
      </c>
      <c r="H21" s="17" t="s">
        <v>152</v>
      </c>
      <c r="I21" s="15">
        <v>3</v>
      </c>
      <c r="J21" s="15"/>
      <c r="K21" s="17" t="s">
        <v>110</v>
      </c>
      <c r="L21" s="17" t="s">
        <v>174</v>
      </c>
      <c r="M21" s="17" t="s">
        <v>175</v>
      </c>
      <c r="N21" s="17" t="s">
        <v>178</v>
      </c>
      <c r="O21" s="17" t="s">
        <v>184</v>
      </c>
    </row>
    <row r="22" spans="1:15" ht="210">
      <c r="A22" s="20"/>
      <c r="B22" s="18"/>
      <c r="C22" s="19"/>
      <c r="D22" s="17" t="s">
        <v>150</v>
      </c>
      <c r="E22" s="17" t="s">
        <v>176</v>
      </c>
      <c r="F22" s="28" t="s">
        <v>109</v>
      </c>
      <c r="G22" s="17" t="s">
        <v>177</v>
      </c>
      <c r="H22" s="17" t="s">
        <v>154</v>
      </c>
      <c r="I22" s="15">
        <v>2</v>
      </c>
      <c r="J22" s="15"/>
      <c r="K22" s="17" t="s">
        <v>109</v>
      </c>
      <c r="L22" s="17"/>
      <c r="M22" s="17"/>
      <c r="N22" s="17" t="s">
        <v>179</v>
      </c>
      <c r="O22" s="17" t="s">
        <v>184</v>
      </c>
    </row>
    <row r="23" spans="1:15" ht="150">
      <c r="A23" s="15" t="s">
        <v>55</v>
      </c>
      <c r="B23" s="16" t="s">
        <v>14</v>
      </c>
      <c r="C23" s="17" t="s">
        <v>180</v>
      </c>
      <c r="D23" s="17" t="s">
        <v>111</v>
      </c>
      <c r="E23" s="17"/>
      <c r="F23" s="28" t="s">
        <v>112</v>
      </c>
      <c r="G23" s="17" t="s">
        <v>155</v>
      </c>
      <c r="H23" s="17"/>
      <c r="I23" s="15">
        <v>4</v>
      </c>
      <c r="J23" s="15">
        <v>3.5</v>
      </c>
      <c r="K23" s="17" t="s">
        <v>112</v>
      </c>
      <c r="L23" s="17" t="s">
        <v>168</v>
      </c>
      <c r="M23" s="17" t="s">
        <v>169</v>
      </c>
      <c r="N23" s="17" t="s">
        <v>181</v>
      </c>
      <c r="O23" s="17" t="s">
        <v>206</v>
      </c>
    </row>
    <row r="24" spans="1:15">
      <c r="I24" s="29">
        <f>SUM(I2:I23)</f>
        <v>30</v>
      </c>
      <c r="J24" s="26">
        <f>SUM(J2:J23)</f>
        <v>15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1794-400D-441E-89D6-EF1AB32B6BFE}">
  <dimension ref="A1:J3"/>
  <sheetViews>
    <sheetView workbookViewId="0">
      <selection activeCell="J8" sqref="J8"/>
    </sheetView>
  </sheetViews>
  <sheetFormatPr defaultRowHeight="15"/>
  <cols>
    <col min="1" max="1" width="13" style="8" bestFit="1" customWidth="1"/>
    <col min="2" max="2" width="11.5703125" style="8" bestFit="1" customWidth="1"/>
    <col min="3" max="3" width="15.42578125" style="8" bestFit="1" customWidth="1"/>
    <col min="4" max="4" width="20.5703125" style="8" customWidth="1"/>
    <col min="5" max="5" width="8.42578125" style="8" bestFit="1" customWidth="1"/>
    <col min="6" max="6" width="17.85546875" style="8" customWidth="1"/>
    <col min="7" max="7" width="13" style="8" customWidth="1"/>
    <col min="8" max="8" width="14.5703125" style="8" bestFit="1" customWidth="1"/>
    <col min="9" max="9" width="18.28515625" style="8" customWidth="1"/>
    <col min="10" max="10" width="104.140625" style="8" customWidth="1"/>
    <col min="11" max="16384" width="9.140625" style="8"/>
  </cols>
  <sheetData>
    <row r="1" spans="1:10">
      <c r="A1" s="34" t="s">
        <v>6</v>
      </c>
      <c r="B1" s="34" t="s">
        <v>190</v>
      </c>
      <c r="C1" s="34" t="s">
        <v>191</v>
      </c>
      <c r="D1" s="34" t="s">
        <v>192</v>
      </c>
      <c r="E1" s="34" t="s">
        <v>193</v>
      </c>
      <c r="F1" s="34" t="s">
        <v>194</v>
      </c>
      <c r="G1" s="34" t="s">
        <v>195</v>
      </c>
      <c r="H1" s="13" t="s">
        <v>196</v>
      </c>
      <c r="I1" s="34" t="s">
        <v>197</v>
      </c>
      <c r="J1" s="10" t="s">
        <v>200</v>
      </c>
    </row>
    <row r="2" spans="1:10">
      <c r="A2" s="47" t="s">
        <v>25</v>
      </c>
      <c r="B2" s="2" t="s">
        <v>198</v>
      </c>
      <c r="C2" s="2">
        <v>81</v>
      </c>
      <c r="D2" s="2">
        <v>230</v>
      </c>
      <c r="E2" s="2">
        <f>C2+D2</f>
        <v>311</v>
      </c>
      <c r="F2" s="2">
        <v>1.4999999999999999E-2</v>
      </c>
      <c r="G2" s="2">
        <f>E2*F2</f>
        <v>4.665</v>
      </c>
      <c r="H2" s="48">
        <f>G2+G3</f>
        <v>34.104999999999997</v>
      </c>
      <c r="I2" s="47">
        <v>25</v>
      </c>
      <c r="J2" s="45" t="s">
        <v>208</v>
      </c>
    </row>
    <row r="3" spans="1:10" ht="84" customHeight="1">
      <c r="A3" s="47"/>
      <c r="B3" s="2" t="s">
        <v>199</v>
      </c>
      <c r="C3" s="2">
        <v>286</v>
      </c>
      <c r="D3" s="2">
        <v>354</v>
      </c>
      <c r="E3" s="2">
        <f t="shared" ref="E3" si="0">C3+D3</f>
        <v>640</v>
      </c>
      <c r="F3" s="2">
        <v>4.5999999999999999E-2</v>
      </c>
      <c r="G3" s="2">
        <f t="shared" ref="G3" si="1">E3*F3</f>
        <v>29.439999999999998</v>
      </c>
      <c r="H3" s="48"/>
      <c r="I3" s="47"/>
      <c r="J3" s="46"/>
    </row>
  </sheetData>
  <mergeCells count="4">
    <mergeCell ref="J2:J3"/>
    <mergeCell ref="A2:A3"/>
    <mergeCell ref="H2:H3"/>
    <mergeCell ref="I2:I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分析報告要點</vt:lpstr>
      <vt:lpstr>決定廣告主題</vt:lpstr>
      <vt:lpstr>AI初稿腳本與角色創建</vt:lpstr>
      <vt:lpstr>故事板-生活質感派</vt:lpstr>
      <vt:lpstr>開發成本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Shie Kino</cp:lastModifiedBy>
  <dcterms:created xsi:type="dcterms:W3CDTF">2026-04-25T13:36:03Z</dcterms:created>
  <dcterms:modified xsi:type="dcterms:W3CDTF">2026-05-27T04:46:46Z</dcterms:modified>
</cp:coreProperties>
</file>