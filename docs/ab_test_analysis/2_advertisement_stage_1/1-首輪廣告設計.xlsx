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A.change jobs\data_science_practice\etl_showcase\docs\ab_test_analysis\2_advertisement_stage_1\"/>
    </mc:Choice>
  </mc:AlternateContent>
  <xr:revisionPtr revIDLastSave="0" documentId="13_ncr:1_{BB8C8F69-1865-4E82-A130-47A44D6B5296}" xr6:coauthVersionLast="47" xr6:coauthVersionMax="47" xr10:uidLastSave="{00000000-0000-0000-0000-000000000000}"/>
  <bookViews>
    <workbookView xWindow="-120" yWindow="-120" windowWidth="29040" windowHeight="15720" tabRatio="500" xr2:uid="{00000000-000D-0000-FFFF-FFFF00000000}"/>
  </bookViews>
  <sheets>
    <sheet name="市調與選品" sheetId="1" r:id="rId1"/>
    <sheet name="決定廣告主題" sheetId="2" r:id="rId2"/>
    <sheet name="AI初稿腳本與角色創建" sheetId="3" r:id="rId3"/>
    <sheet name="故事板-家長心意" sheetId="4" r:id="rId4"/>
    <sheet name="故事板-上班族(WFH)" sheetId="5" r:id="rId5"/>
    <sheet name="開發成本"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6" l="1"/>
  <c r="G19" i="6" s="1"/>
  <c r="E18" i="6"/>
  <c r="G18" i="6" s="1"/>
  <c r="E17" i="6"/>
  <c r="G17" i="6" s="1"/>
  <c r="E16" i="6"/>
  <c r="G16" i="6" s="1"/>
  <c r="H16" i="6" s="1"/>
  <c r="E15" i="6"/>
  <c r="G15" i="6" s="1"/>
  <c r="E14" i="6"/>
  <c r="G14" i="6" s="1"/>
  <c r="H14" i="6" s="1"/>
  <c r="E3" i="6"/>
  <c r="G3" i="6" s="1"/>
  <c r="E4" i="6"/>
  <c r="G4" i="6" s="1"/>
  <c r="E5" i="6"/>
  <c r="G5" i="6" s="1"/>
  <c r="E2" i="6"/>
  <c r="G2" i="6" s="1"/>
  <c r="H2" i="6" l="1"/>
  <c r="H18" i="6"/>
  <c r="H4" i="6"/>
</calcChain>
</file>

<file path=xl/sharedStrings.xml><?xml version="1.0" encoding="utf-8"?>
<sst xmlns="http://schemas.openxmlformats.org/spreadsheetml/2006/main" count="397" uniqueCount="319">
  <si>
    <t>場景序列名稱</t>
  </si>
  <si>
    <t>場景編號</t>
  </si>
  <si>
    <t>場景描述</t>
  </si>
  <si>
    <t>產出圖片名稱</t>
  </si>
  <si>
    <t>產生影片提示詞</t>
  </si>
  <si>
    <t>產出影片名稱</t>
  </si>
  <si>
    <t>Hook</t>
  </si>
  <si>
    <t>1-1</t>
  </si>
  <si>
    <t xml:space="preserve">主觀鏡頭特寫筆電螢幕：視訊會議剛結束，視窗一個個關掉。
</t>
  </si>
  <si>
    <t>1-2</t>
  </si>
  <si>
    <t>呈現媽媽的背景和工作桌，桌上散落便利貼、文件、一杯喝了一半的咖啡。
她摘下耳機，抬頭看了一眼。</t>
  </si>
  <si>
    <t>1-3</t>
  </si>
  <si>
    <t>時鐘顯示時間：晚上八點十分。</t>
  </si>
  <si>
    <t>無特定提示詞，產1-2時，有一張正面的圖，用那張圖只擷取時鐘部份，再用AI協助把比例統一為9:16。</t>
  </si>
  <si>
    <t>場景1-3</t>
  </si>
  <si>
    <t>1-4</t>
  </si>
  <si>
    <t>她靠在椅背上，嘆一口氣後說：
「會議終於結束了。」
她站起來，職業裝還沒換，直接走進廚房。</t>
  </si>
  <si>
    <t>1-5</t>
  </si>
  <si>
    <t>以 「場景1-5-1」 為基礎，只取圖中角色的上半身的畫面就好。</t>
  </si>
  <si>
    <t xml:space="preserve">走廊另一頭，孩子房間透出一道暖光。
</t>
  </si>
  <si>
    <t>場景1-6</t>
  </si>
  <si>
    <t>產品時刻</t>
  </si>
  <si>
    <t>2-1</t>
  </si>
  <si>
    <t>2-2</t>
  </si>
  <si>
    <t>以 「場景1-5-2」 為基礎，把角色料理的食物改成炒青菜，鍋具改成平底鍋，角色動作稍微改一下。</t>
  </si>
  <si>
    <t>2-3</t>
  </si>
  <si>
    <t>2-4</t>
  </si>
  <si>
    <t>產品介紹 + CTA</t>
  </si>
  <si>
    <t>首輪AB 測試廣告 切角</t>
  </si>
  <si>
    <t>切角</t>
  </si>
  <si>
    <t>家長心意</t>
  </si>
  <si>
    <t>「陪他長大的第一盞光，值得挑得用心。」</t>
  </si>
  <si>
    <t>以「入座自動開燈 · 離座自動關燈 + Ra &gt; 95 全光譜柔光」為主鏡頭，把家長對孩子的關心，轉化為「每一次寫作業、每一次翻繪本，都有一盞對的光陪他」的具體行動。搭配眼科醫師推薦與無頻閃認證，給選擇正在為孩子打造學習空間的父母一個理性又溫暖的下手理由。</t>
  </si>
  <si>
    <t>紅外線入座感應 · 智能環境光調節 · Ra&gt;95 全光譜 · 無頻閃認證</t>
  </si>
  <si>
    <t>孩子忘了關燈 / 低頭太久不休息 / 擔心近視、3 成護眼燈不合格</t>
  </si>
  <si>
    <t>夜晚 21:00 的兒童書桌、媽媽在廚房洗碗，餘光望向書房裡那束柔光，孩子正認真地寫功課</t>
  </si>
  <si>
    <t>愛、陪伴、為孩子準備未來的成就感 —「這盞燈會陪著他從注音一路走到畢業」</t>
  </si>
  <si>
    <t>暖色調 3000K · 木質書桌 · 童書 · 溫黃光暈包覆 · 親子互動鏡頭（靠近但不打擾）</t>
  </si>
  <si>
    <t>像陽光般自然、不刺眼、眼睛不痠、看書更有耐心、肩膀放鬆、陪讀時光更專注</t>
  </si>
  <si>
    <t>「八小時專注後，眼睛還是不澀。」</t>
  </si>
  <si>
    <t>以非對稱光學掛燈對位「下班後眼睛乾澀」的 WFH 上班族，強調「不反光到螢幕 + 省桌面」的兩大效率承諾。</t>
  </si>
  <si>
    <t>螢幕掛燈 · 非對稱光學不反光 · 環境光自動調節 · 支援曲面螢幕</t>
  </si>
  <si>
    <t>反光到螢幕 / 桌面太擠 / 深夜工作眼睛乾澀 / 一般檯燈醜</t>
  </si>
  <si>
    <t>深夜 23:30 的個人辦公桌、雙螢幕、咖啡杯、窗外城市燈火</t>
  </si>
  <si>
    <t>掌控感、專業感 —「這是我桌面裝備裡最值得的一筆」</t>
  </si>
  <si>
    <t>冷冽科技感 · 黑白灰金屬質地 · 4000–5500K 中性光 · 特寫鍵盤與光線</t>
  </si>
  <si>
    <t>眼睛不乾澀、螢幕零反光、專注、肩頸不緊、頭不昏、下班還有力氣</t>
  </si>
  <si>
    <t>Top 10 痛點</t>
  </si>
  <si>
    <t>選品</t>
  </si>
  <si>
    <t>價格太貴 / 智商稅（4,000 元門檻）</t>
  </si>
  <si>
    <t>亮度不足 / 比小夜燈還暗</t>
  </si>
  <si>
    <t>故障 / 燒壞 / 壽命短</t>
  </si>
  <si>
    <t>反光到螢幕 / 鍵盤（含曲面螢幕）</t>
  </si>
  <si>
    <t>充電 / 觸控失靈 · 續航灌水</t>
  </si>
  <si>
    <t>刺眼 / 眩光（LED 本質）</t>
  </si>
  <si>
    <t>做工差 / 燈頭晃動 / 底座不穩</t>
  </si>
  <si>
    <t>客服差 / 退貨困難 / 被封鎖</t>
  </si>
  <si>
    <t>瑕疵品 / 少件 / 與描述不符</t>
  </si>
  <si>
    <t>頻閃 / 閃爍（邊充邊用更明顯）</t>
  </si>
  <si>
    <t>廣告避雷</t>
  </si>
  <si>
    <t>Top 10 痛點 中 7 項為商品本身痛點、2 項為商家服務痛點、1 項屬心理價格焦慮。廣告素材需強勢露出產品展示 + 真實口碑 + 認證數據回應商品痛點；服務痛點（客服、退貨、瑕疵）是 EC 平台的「Deal breaker」，必須在落地頁直接破解（7 天鑑賞期、免費換貨、Line 客服即回）；價格焦慮則用「不是智商稅」的一年長測證明回應。</t>
  </si>
  <si>
    <t>根據</t>
  </si>
  <si>
    <t>提示詞(市調資料部份，有視實際狀況進行微調)</t>
  </si>
  <si>
    <t>最後決定主題</t>
  </si>
  <si>
    <t>決策考量</t>
  </si>
  <si>
    <t>備註</t>
  </si>
  <si>
    <t>選擇廣告概念一。</t>
  </si>
  <si>
    <t>1.考量病毒傳播力和情感渲染力的平衡。
2.「但燈記得」的概念，除了解決孩子太久不休息的痛點，亦可解決當代父母因工作忙易無暇顧及小孩的痛點。
3.「但燈記得」的slogan，有機會讓忙於照顧他人的父母，也有被人幫助、被人同理的感覺，因此在父母心中留下加分印象。</t>
  </si>
  <si>
    <t>如之後主客群確定是家長，廣告概念三可以作為專業挑剔型切角的參考方向。</t>
  </si>
  <si>
    <t>幫我想幾個符合現在社會主旋律：要健康地、有生活品質地奮鬥，且讓觀眾有被陪伴感的廣告概念，如果能兼顧，最好同時有病毒傳播力，下列是我的市調資料和商品資料：
商品資料：
品牌名稱	：喜光全光譜
顏色	：黑色、白色
功能	：觸控、場景模式
商品規格：
◆ 品名：全光譜LED健康護眼檯燈-TIONE鈦珈白(桌夾+底座)
◆ 型號：SY-FS10-18WH/BL
◆ 額定功率：18W
◆ 額定電壓：24VDC
◆ 功率因數：)0.4
◆ 演色性：Ra)97
◆ 色溫：5種情境色溫
｜2700K夜間閱讀黃光｜3000K休閒黃光｜4000K舒適自然光｜5000K閱讀白光｜6500K專注白光
◆ 亮度：五段亮度調節
◆ 開關：觸控開關、50分鐘關燈休息提醒
◆ 照度：2000 lux (40cm中心點)
◆ 材質：鋁合金、ABS
◆ 燈具重量：1270g
◆ 底座重量 : 3.78kg
◆ 燈罩60cm,上臂33.6cm,下臂49.4cm,桌夾高11.5cm
◆ 底座:長22*寬17*厚4cm, 重量3.7kg
◆ 全新升級保固：整燈保固2年/燈珠保固3年(2025年3月起算)
◆ 配件：TIONE桌夾款x1, 底座(贈品)x1,電源供應器x1,說明書x1
桌夾款．補充說明
◆ 適用桌子厚度：1.5公分~10公分之間
◆ 備註1：桌夾款為「單向桌夾式」，僅能「平行」桌面夾式使用，非立式使用。
◆ 備註2：建議安裝於桌板，不適合安裝在管型材料，不可夾鐵棒。
◆ 權威推荐：諾貝爾眼科院長推薦
市調資料：
slogan：「八小時專注後，眼睛還是不澀。」
目標受眾：25–40 歲 WFH / 雙螢幕工程師 / 設計師 / 剪輯師
對應痛點：反光到螢幕 / 深夜工作眼睛乾澀 / 一般檯燈醜
情緒目標：掌控感、專業感 —「這是我桌面裝備裡最值得的一筆」</t>
  </si>
  <si>
    <t>選擇廣告概念二。</t>
  </si>
  <si>
    <t>1.符合當前社會對「健康且具生活品質的努力」之主流價值觀，同時呼應現代人對於生活掌控感與自我認同的需求，有助於建立商品與使用者的身份連結。
2.考量單身經濟下對陪伴感的需求，
「陪你追夢的存在」能強化情感連結，並營造類似共同奮鬥的情境，提升心理認同與黏著度。</t>
  </si>
  <si>
    <t>產生腳本提示詞</t>
  </si>
  <si>
    <t>Claude提供腳本</t>
  </si>
  <si>
    <t>Claude提供Kling Prompt</t>
  </si>
  <si>
    <t>腳本調整方向</t>
  </si>
  <si>
    <t>產生角色提示詞</t>
  </si>
  <si>
    <t>寫一支30秒的腳本，風格溫馨、有情感渲染力，需有強Hook+產品介紹+CTA，大致概念如下，可依需要調整：
廣告概念：「50分鐘」
核心概念：主打燈的休息提醒功能，但用情感角度切入。
畫面敘事：
晚上，孩子趴在燈下寫作業，媽媽在廚房忙(再增加情節讓觀眾知導他是職業婦女，職階是中階主管)。燈自動閃爍提醒休息——孩子抬起頭，揉眼睛，轉頭看向媽媽。兩個人對到眼，媽媽放下手邊的事走過來。
文案：
「50分鐘到了。他記不得休息，但燈記得。」
為什麼有病毒力
「但燈記得」這句話容易在家長社群引發轉發，因為它說出了很多父母的心聲——我顧不到的，希望有什麼能幫我顧著他。</t>
  </si>
  <si>
    <t>30秒腳本：「50分鐘」
【0–6秒｜Hook】
畫面：筆電螢幕特寫——視訊會議剛結束，視窗一個個關掉。
桌上散落便利貼、簽呈、一杯喝了一半的咖啡。
她摘下耳機，看了一眼時間：晚上八點十分。
旁白（內心聲音）：
「會議終於結束了。」
她站起來，職業裝還沒換，直接走進廚房。
【6–12秒｜情境建立】
畫面：走廊另一頭，孩子房間透出一道暖光。
切到孩子：趴在書桌前寫作業，頭越壓越低，眼睛距離紙面不到20公分。
廚房裡，她一邊熱飯，一邊側耳聽——走廊那頭沒有動靜。
旁白：
「他還在讀。但我過不去。」
【12–20秒｜產品時刻】
畫面：書桌上的喜光全光譜護眼燈，燈緣緩緩閃爍三下。
孩子愣住，抬起頭。
他放下筆，揉了揉眼睛。
然後轉頭，往廚房方向張望。
廚房裡，她剛好也抬起頭。
兩個人隔著走廊，對到眼。
她關掉爐火，走過來。
在他旁邊蹲下，什麼都沒說，
只是用手背輕輕貼了一下他的臉。
孩子靠過去，靠在她肩上。
【20–25秒｜文案字卡】
畫面定格：母子兩人在那道暖光下。
字卡逐字出現：
「50分鐘到了。」
「他記不得休息，但燈記得。」
【25–30秒｜產品介紹 + CTA】
畫面：燈的輪廓在暗處發光，輕觸切換色溫的手部特寫。
旁白：
「喜光全光譜護眼燈。50分鐘休息提醒，Ra97全光譜，諾貝爾眼科院長推薦。」
字卡：「你顧不到的，讓燈幫你記著。」
品牌 Logo 淡入，字卡：「喜光全光譜｜立即選購」</t>
  </si>
  <si>
    <t>Warm cinematic short film, 30 seconds.
Scene 1 (0-6s): 
Close-up of laptop screen — video call just ended, 
windows closing one by one. 
Sticky notes, documents, half-finished coffee on desk. 
A woman in office attire checks the time: 8:10pm. 
She removes her earphones, walks directly to the kitchen 
without changing clothes.
Scene 2 (6-12s): 
Warm light glowing from a child's room at the end of the hallway. 
Child hunched over homework, face very close to the paper. 
Mother in kitchen heating food, glancing toward the hallway.
Scene 3 (12-20s): 
The desk lamp flickers softly three times. 
Child looks up, puts down pen, rubs eyes, 
turns to look toward kitchen.
Mother looks up at the same moment.
Eyes meet across the hallway.
She turns off the stove, walks over.
Kneels beside him. 
Presses the back of her hand gently against his cheek.
He leans into her shoulder.
Scene 4 (20-25s): 
Still frame. Mother and child under warm lamplight.
Text appears on screen gradually.
Scene 5 (25-30s): 
Lamp silhouette glowing softly in dim room. 
Close-up of hand touching lamp to adjust color temperature.
Brand logo fades in.
Mood: Tender, quiet, like a childhood memory.
Lighting: Single warm lamp as hero light source. 
Kitchen has cooler ambient light to contrast.
Color grade: Warm amber, cinematic, slightly desaturated.
Sound: No dialogue. 
Ambient sounds — keyboard clicks, microwave hum, 
fading into complete silence when they meet.</t>
  </si>
  <si>
    <t>大部份內容沒問題，有些地方的情緒不夠細緻，要再微調。
另，場景「產品時刻」過於不自然，需再較大幅度地調整。</t>
  </si>
  <si>
    <t>媽媽
普通的亞洲中年女性，年紀約40歲，不特別出眾，但要輕微好看、耐看，
長髮大波浪捲，黑髮褐眼，穿著白色雪紡襯衫，深藍色西裝，臉上有淡妝，自信。
小孩
可愛的亞洲小男孩，年紀10歲，短髮，髮型為微分碎蓋，杏仁眼，穿著居家T-shirt和休閒長褲。</t>
  </si>
  <si>
    <t>寫一支30秒的腳本，風格有健康奮鬥感(健康地、有生活品質地奮鬥)、讓觀眾有被陪伴感，需有強Hook+產品介紹+CTA，大致概念如下，可依需要調整：
廣告概念：「下班後的兩小時，是你自己的」
核心概念：把燈定位成「下班後繼續做自己的事」的陪伴者，而不是加班的工具。
畫面敘事：
傍晚六點，工作視窗關掉。他切換燈的色溫從專注白光到舒適自然光。桌上的東西從工作文件換成副業的設計稿、吉他譜、或app產品設計草稿。旁白：「這兩小時不是加班。是你在為自己工作。」燈的光色隨著他的狀態，靜靜陪著。
文案：「朝九晚六之後，這道光還在。陪你做那件一直想做的事。」
為什麼有陪伴感：把燈從「工作工具」升維成「陪你追夢的存在」，情感層次更深。WFH 族和有副業的人會強烈對號入座。</t>
  </si>
  <si>
    <t>Warm cinematic short film, 30 seconds. WFH aesthetic.
Scene 1 (0-6s):
Close-up of laptop screen — work windows closing one by one.
Final window closes. Desktop wallpaper appears.
His hand rests on keyboard for one quiet second.
He reaches out and touches the desk lamp.
The lamp color temperature shifts slowly from cool white 
to warm natural light. The whole room changes mood.
Scene 2 (6-14s):
He slides work documents aside.
Takes out a sketchbook from drawer — app UI wireframes, 
hand-drawn interface sketches, colored pens scattered.
He leans back first, looks at the lamp light for a moment.
Then slowly starts sketching. Relaxed, not rushed.
Scene 3 (14-22s):
Time passes. Sketches accumulate on desk.
Coffee cup replaced by water glass.
He looks up, stretches, glances at city lights outside window,
then leans back in to continue.
Lamp glows steadily throughout — calm, unwavering.
Scene 4 (22-26s):
Wide shot. Him and the lamp in the quiet of late night.
Text appears on screen gradually.
Scene 5 (26-30s):
Close-up of lamp. Hand touches it to switch color temperature.
Brand logo fades in.
Mood: Calm, purposeful, quietly hopeful.
Not hustle culture. Not burnout. 
The feeling of doing something just for yourself.
Lighting: Warm natural lamp as hero light. 
Cool blue from window to contrast indoor warmth.
Color grade: Warm but clean. Slightly desaturated. Cinematic.
Sound: No dialogue. 
Ambient sounds — pencil on paper, city hum outside,
quiet and steady throughout.
Camera: Slow push-ins, lingering close-ups on hands and light.</t>
  </si>
  <si>
    <t>上班族
長相普通的亞洲男性，年紀約25歲，不特別出眾，但要有點帥，
短髮，髮型為微分碎蓋，法式短髮，穿著輕鬆、有輕微設計感的服裝。</t>
  </si>
  <si>
    <t>情境建立</t>
  </si>
  <si>
    <t>桌面特寫——工作視窗一個個關掉，最後一個視窗關閉，螢幕變成桌布，zoom in到右下角的時間，上面顯示下午6點。</t>
  </si>
  <si>
    <t>鏡頭拍攝設計草稿本，由左而右搖鏡，
拍攝手繪的 app 設計內容，內容有目標客群、客群痛點、app首頁UI。</t>
  </si>
  <si>
    <t>以 「場景2-1」 為基礎，鏡頭角度、整體構圖、光線皆不變，只讓畫面中的角色改變動作，角色正坐面向畫面右方，且閉上眼微笑。</t>
  </si>
  <si>
    <t>時間流逝的感覺：從男主頭頂俯拍他和桌上的草稿，桌上的草稿內容越來越多，咖啡杯換成了玻璃杯，裡面的溶液從咖啡變玫瑰茶。</t>
  </si>
  <si>
    <t>以  「場景2-1」 為基礎，鏡頭改成從天花板往下俯拍主角。</t>
  </si>
  <si>
    <t>場景2-2-2</t>
  </si>
  <si>
    <t>以 「場景2-2-1」 此圖為基礎，把視角改成和「場景2-1」 一致，但畫面中的內容均以 「場景2-2-1」 為主。</t>
  </si>
  <si>
    <t>這張照片捕捉了透過一扇大窗戶看到的夜景城市景觀，窗戶邊緣掛著厚重的米色窗簾。窗戶被一條垂直的白色橫條分成兩扇。窗外，無數摩天大樓的燈光照亮了城市，在漆黑的夜空映襯下，呈現出璀璨奪目的景象。建築物的高度和建築風格各不相同，有的採用現代玻璃幕牆，有的則保留了更傳統的設計。最高的建築裝飾著明亮的燈光，高層懸掛著藍白相間的燈光，屋頂則亮著紅色的燈光。天空晴朗，只有零星的雲彩，城市燈光在窗戶玻璃上柔和地反射著。照片的下半部展現了一片燈火通明的密集城區，街道上點綴著許多低矮的建築和燈光。這張照片是從高處拍攝的，很可能是在一棟高層建築上，因此可以俯瞰整個城市的天際線。照片的整體色調以夜空的深藍色和黑色為主，與城市燈光明亮的白色、藍色、紅色和黃色形成鮮明對比。這幅畫面傳遞出一種都市活力和夜晚能量的感覺。</t>
  </si>
  <si>
    <t>3-1</t>
  </si>
  <si>
    <t>延用場景2-3-1</t>
  </si>
  <si>
    <t>場景3-1-2</t>
  </si>
  <si>
    <t>以「場景3-1-2」為基礎，幫我想像一個完整的五層公寓，窗戶可以縮小。</t>
  </si>
  <si>
    <t>擷取 「場景2-3-2」 窗外的景色，並改成從空中45度往下俯拍。</t>
  </si>
  <si>
    <t>4-1</t>
  </si>
  <si>
    <t>3-1</t>
    <phoneticPr fontId="3" type="noConversion"/>
  </si>
  <si>
    <t>場景3-1</t>
    <phoneticPr fontId="3" type="noConversion"/>
  </si>
  <si>
    <t>場景1-1-1</t>
    <phoneticPr fontId="3" type="noConversion"/>
  </si>
  <si>
    <t>場景1-1-2</t>
    <phoneticPr fontId="3" type="noConversion"/>
  </si>
  <si>
    <t>場景1-2</t>
    <phoneticPr fontId="3" type="noConversion"/>
  </si>
  <si>
    <t>把 「場景1-1-1」 螢幕中的畫面取代成 「場景1-2」 中螢幕中的畫面，同時， 「場景1-1-1」 桌面如同 「場景1-2」 一樣，螢幕底部貼上四張便利貼，桌上散落便利貼，左側放著文件、一杯喝了一半的咖啡。</t>
    <phoneticPr fontId="3" type="noConversion"/>
  </si>
  <si>
    <t>鏡頭運動：固定主觀鏡頭(static POV)，鏡頭與筆電螢幕近乎平行；角色（媽媽）的視線即觀眾視線，全程不動。角色動作：一開始畫面中6格視訊參與者最中間的男性說：「那今天會議先這樣，謝謝大家參與」，其它參與者保持不動。等畫面最中間的男性說完後，接著所有其它參與者揮手再見或說一下「謝謝大家」，然後，畫面上的視窗一格一格消失，最後電腦螢幕上的視訊軟體也關閉並進入桌布。場景／背景氛圍：無特別背景音；整體色調冷白偏中性、不帶暖色；氛圍是「白天的最後一刻」的疲憊與終於要結束的解脫感交雜。</t>
    <phoneticPr fontId="3" type="noConversion"/>
  </si>
  <si>
    <t>場景1-1</t>
    <phoneticPr fontId="3" type="noConversion"/>
  </si>
  <si>
    <t>產生圖片提示詞</t>
    <phoneticPr fontId="3" type="noConversion"/>
  </si>
  <si>
    <t>產生圖片說明</t>
    <phoneticPr fontId="3" type="noConversion"/>
  </si>
  <si>
    <t>鏡頭運動：鏡頭逐漸拉遠到看到媽媽和工作桌全景，接著固定不動。角色動作：待鏡頭拉遠到看到角色和工作桌全景固定不動後，媽媽摘下媽媽戴著的入耳式耳機，接著抬頭看向畫面右上角的時鐘。場景／背景氛圍：整體色調冷白偏中性、不帶暖色。</t>
    <phoneticPr fontId="3" type="noConversion"/>
  </si>
  <si>
    <t>鏡頭運動：固定主觀鏡頭(static POV)，與時鐘平行，全程不動。角色動作：時鐘秒針一格一格移動著。
場景／背景氛圍：只有秒一格一格走動著滴答滴答的聲音；整體色調冷白偏中性、不帶暖色。</t>
    <phoneticPr fontId="3" type="noConversion"/>
  </si>
  <si>
    <t>場景1-3</t>
    <phoneticPr fontId="3" type="noConversion"/>
  </si>
  <si>
    <t>鏡頭運動：固定中景鏡頭，從正面或3/4側面拍攝；最後媽媽起身後，鏡頭跟隨媽媽起身並移動。角色動作：媽媽閉著眼靠在辦公椅椅背上，一臉疲憊，輕輕嘆氣，隨後雙手扶椅、緩慢站起，徑直走出畫面右側。場景／背景氛圍：背景保留輕微的城市環境音與她的吐氣聲；色調以暖白為主、桌邊有淡黃色檯燈光；氛圍是「卸下責任後鬆懈的瞬間」，安靜但帶有疲憊。</t>
    <phoneticPr fontId="3" type="noConversion"/>
  </si>
  <si>
    <t>場景1-4</t>
    <phoneticPr fontId="3" type="noConversion"/>
  </si>
  <si>
    <t>切到孩子：趴在書桌前寫作業，頭越壓越低，眼睛距離紙面不到20公分。
書桌上的喜光全光譜護眼燈，基於休息提醒自動熄燈。
孩子愣住，抬起頭，
默默地說了一句：「啊，50分鐘到了。」
他放下筆，揉了揉眼睛。
然後起身，往廚房方向走去。</t>
    <phoneticPr fontId="3" type="noConversion"/>
  </si>
  <si>
    <t>2-1</t>
    <phoneticPr fontId="3" type="noConversion"/>
  </si>
  <si>
    <t>場景2-1-1</t>
    <phoneticPr fontId="3" type="noConversion"/>
  </si>
  <si>
    <t>場景2-1-2</t>
    <phoneticPr fontId="3" type="noConversion"/>
  </si>
  <si>
    <t xml:space="preserve">廚房裡，她剛好也抬起頭。
</t>
    <phoneticPr fontId="3" type="noConversion"/>
  </si>
  <si>
    <t>孩子抬起頭，和媽媽剛好對到眼，孩子微笑。</t>
    <phoneticPr fontId="3" type="noConversion"/>
  </si>
  <si>
    <t>2-3</t>
    <phoneticPr fontId="3" type="noConversion"/>
  </si>
  <si>
    <t>普通的亞洲中年女性，年紀約40歲，不特別出眾，但要輕微好看、耐看，
長髮大波浪捲，黑髮褐眼，穿著白色雪紡襯衫，深藍色西裝，臉上有淡妝，自信。
靠在椅背上，一臉疲憊，所在地方是有點講究的小型家庭。</t>
    <phoneticPr fontId="3" type="noConversion"/>
  </si>
  <si>
    <t xml:space="preserve">可愛的亞洲小男孩，年紀10歲，短髮，髮型為微分碎蓋，杏仁眼，穿著居家T-shirt和休閒長褲。
趴在書桌前寫作業，頭越壓越低，眼睛距離紙面不到20公分。
</t>
    <phoneticPr fontId="3" type="noConversion"/>
  </si>
  <si>
    <t>實際影片3s，前2s可用。</t>
    <phoneticPr fontId="3" type="noConversion"/>
  </si>
  <si>
    <t>鏡頭運動：從廚房入口或料理台對角拍攝，逐漸拉近鏡頭，拉到中景後停下固定不動。
角色動作：媽媽站在瓦斯爐前，左手扶鍋柄、右手拿鍋鏟輕輕翻動鍋中食材（蒸氣裊裊升起）；眼神有些放空，臉色疲憊，動作雖在進行但心思飄向他處。在鏡頭停在中景後，媽媽繼續料理但動作放慢（鍋鏟動作幾乎停下），目光從鍋中食材轉向遠方（朝孩子房間方向，畫面外）；眉頭微微皺起；嘴唇微抿，似乎在強壓內心的擔憂。
場景／背景氛圍：背景音是鍋中食材的「咕嚕咕嚕」聲、鍋鏟翻動食物聲；色調以廚房暖黃光為主，呈現家的溫度但帶有母親沉思的孤單感；蒸氣裊裊升起增加畫面層次。</t>
    <phoneticPr fontId="3" type="noConversion"/>
  </si>
  <si>
    <t>場景1-5-1</t>
    <phoneticPr fontId="3" type="noConversion"/>
  </si>
  <si>
    <t>場景1-5-2</t>
    <phoneticPr fontId="3" type="noConversion"/>
  </si>
  <si>
    <t>實際影片3s，可擷取中間1s來用。</t>
    <phoneticPr fontId="3" type="noConversion"/>
  </si>
  <si>
    <t>1-6</t>
    <phoneticPr fontId="3" type="noConversion"/>
  </si>
  <si>
    <t>場景1-6</t>
    <phoneticPr fontId="3" type="noConversion"/>
  </si>
  <si>
    <t>對白／旁白：本場無對白與旁白，純粹的氛圍鏡頭。鏡頭運動：固定中景鏡頭(static shot)，正面面對走廊微俯拍；可有極輕微的slow push-in（約2-3%）強化「在前方等待」的暗示。角色動作：本場無人物入鏡。場景／背景氛圍：走廊深處孩子房間的門縫透出溫暖橘黃色光帶，斜射在木地板上；走廊本身較暗，光對比強烈；背景音極簡，僅有極輕的鉛筆書寫聲（從房間隱約傳來）與空調低嗡聲；氛圍是「無人但有光、有等待」的溫柔暗示，象徵媽媽心思朝向的方向。</t>
    <phoneticPr fontId="3" type="noConversion"/>
  </si>
  <si>
    <t>鏡頭運動：鏡頭固定不動。
角色動作：媽媽站在瓦斯爐前，左手扶鍋柄、右手拿鍋鏟輕輕翻動鍋中食材（蒸氣裊裊升起）；眼神有些放空，臉色疲憊，且呈現出輕微的擔憂。
場景／背景氛圍：背景音是鍋中食材的「咕嚕咕嚕」聲、鍋鏟翻動食物聲；色調以廚房暖黃光為主，呈現家的溫度但帶有母親沉思的孤單感；蒸氣裊裊升起增加畫面層次。</t>
    <phoneticPr fontId="3" type="noConversion"/>
  </si>
  <si>
    <r>
      <rPr>
        <sz val="11"/>
        <color theme="1"/>
        <rFont val="微軟正黑體"/>
        <family val="2"/>
        <charset val="136"/>
      </rPr>
      <t>幫我想幾個風格溫馨、有情感渲染力的廣告概念，如果能兼顧，最好同時有病毒傳播力，下列是我的市調資料和商品資料：
商品資料：
品牌名稱</t>
    </r>
    <r>
      <rPr>
        <sz val="11"/>
        <color theme="1"/>
        <rFont val="Arial"/>
        <family val="2"/>
      </rPr>
      <t xml:space="preserve">	</t>
    </r>
    <r>
      <rPr>
        <sz val="11"/>
        <color theme="1"/>
        <rFont val="微軟正黑體"/>
        <family val="2"/>
        <charset val="136"/>
      </rPr>
      <t>：喜光全光譜
顏色</t>
    </r>
    <r>
      <rPr>
        <sz val="11"/>
        <color theme="1"/>
        <rFont val="Arial"/>
        <family val="2"/>
      </rPr>
      <t xml:space="preserve">	</t>
    </r>
    <r>
      <rPr>
        <sz val="11"/>
        <color theme="1"/>
        <rFont val="微軟正黑體"/>
        <family val="2"/>
        <charset val="136"/>
      </rPr>
      <t>：黑色、白色
功能</t>
    </r>
    <r>
      <rPr>
        <sz val="11"/>
        <color theme="1"/>
        <rFont val="Arial"/>
        <family val="2"/>
      </rPr>
      <t xml:space="preserve">	</t>
    </r>
    <r>
      <rPr>
        <sz val="11"/>
        <color theme="1"/>
        <rFont val="微軟正黑體"/>
        <family val="2"/>
        <charset val="136"/>
      </rPr>
      <t>：觸控、場景模式
商品規格：
◆</t>
    </r>
    <r>
      <rPr>
        <sz val="11"/>
        <color theme="1"/>
        <rFont val="Arial"/>
        <family val="2"/>
      </rPr>
      <t xml:space="preserve"> </t>
    </r>
    <r>
      <rPr>
        <sz val="11"/>
        <color theme="1"/>
        <rFont val="微軟正黑體"/>
        <family val="2"/>
        <charset val="136"/>
      </rPr>
      <t>品名：全光譜</t>
    </r>
    <r>
      <rPr>
        <sz val="11"/>
        <color theme="1"/>
        <rFont val="Arial"/>
        <family val="2"/>
      </rPr>
      <t>LED</t>
    </r>
    <r>
      <rPr>
        <sz val="11"/>
        <color theme="1"/>
        <rFont val="微軟正黑體"/>
        <family val="2"/>
        <charset val="136"/>
      </rPr>
      <t>健康護眼檯燈</t>
    </r>
    <r>
      <rPr>
        <sz val="11"/>
        <color theme="1"/>
        <rFont val="Arial"/>
        <family val="2"/>
      </rPr>
      <t>-TIONE</t>
    </r>
    <r>
      <rPr>
        <sz val="11"/>
        <color theme="1"/>
        <rFont val="微軟正黑體"/>
        <family val="2"/>
        <charset val="136"/>
      </rPr>
      <t>鈦珈白</t>
    </r>
    <r>
      <rPr>
        <sz val="11"/>
        <color theme="1"/>
        <rFont val="Arial"/>
        <family val="2"/>
      </rPr>
      <t>(</t>
    </r>
    <r>
      <rPr>
        <sz val="11"/>
        <color theme="1"/>
        <rFont val="微軟正黑體"/>
        <family val="2"/>
        <charset val="136"/>
      </rPr>
      <t>桌夾</t>
    </r>
    <r>
      <rPr>
        <sz val="11"/>
        <color theme="1"/>
        <rFont val="Arial"/>
        <family val="2"/>
      </rPr>
      <t>+</t>
    </r>
    <r>
      <rPr>
        <sz val="11"/>
        <color theme="1"/>
        <rFont val="微軟正黑體"/>
        <family val="2"/>
        <charset val="136"/>
      </rPr>
      <t>底座</t>
    </r>
    <r>
      <rPr>
        <sz val="11"/>
        <color theme="1"/>
        <rFont val="Arial"/>
        <family val="2"/>
      </rPr>
      <t xml:space="preserve">)
</t>
    </r>
    <r>
      <rPr>
        <sz val="11"/>
        <color theme="1"/>
        <rFont val="DejaVu Sans"/>
        <family val="1"/>
        <charset val="136"/>
      </rPr>
      <t>◆</t>
    </r>
    <r>
      <rPr>
        <sz val="11"/>
        <color theme="1"/>
        <rFont val="Arial"/>
        <family val="2"/>
      </rPr>
      <t xml:space="preserve"> </t>
    </r>
    <r>
      <rPr>
        <sz val="11"/>
        <color theme="1"/>
        <rFont val="微軟正黑體"/>
        <family val="2"/>
        <charset val="136"/>
      </rPr>
      <t>型號：</t>
    </r>
    <r>
      <rPr>
        <sz val="11"/>
        <color theme="1"/>
        <rFont val="Arial"/>
        <family val="2"/>
      </rPr>
      <t xml:space="preserve">SY-FS10-18WH/BL
</t>
    </r>
    <r>
      <rPr>
        <sz val="11"/>
        <color theme="1"/>
        <rFont val="DejaVu Sans"/>
        <family val="1"/>
        <charset val="136"/>
      </rPr>
      <t>◆</t>
    </r>
    <r>
      <rPr>
        <sz val="11"/>
        <color theme="1"/>
        <rFont val="Arial"/>
        <family val="2"/>
      </rPr>
      <t xml:space="preserve"> </t>
    </r>
    <r>
      <rPr>
        <sz val="11"/>
        <color theme="1"/>
        <rFont val="微軟正黑體"/>
        <family val="2"/>
        <charset val="136"/>
      </rPr>
      <t>額定功率：</t>
    </r>
    <r>
      <rPr>
        <sz val="11"/>
        <color theme="1"/>
        <rFont val="Arial"/>
        <family val="2"/>
      </rPr>
      <t xml:space="preserve">18W
</t>
    </r>
    <r>
      <rPr>
        <sz val="11"/>
        <color theme="1"/>
        <rFont val="DejaVu Sans"/>
        <family val="1"/>
        <charset val="136"/>
      </rPr>
      <t>◆</t>
    </r>
    <r>
      <rPr>
        <sz val="11"/>
        <color theme="1"/>
        <rFont val="Arial"/>
        <family val="2"/>
      </rPr>
      <t xml:space="preserve"> </t>
    </r>
    <r>
      <rPr>
        <sz val="11"/>
        <color theme="1"/>
        <rFont val="微軟正黑體"/>
        <family val="2"/>
        <charset val="136"/>
      </rPr>
      <t>額定電壓：</t>
    </r>
    <r>
      <rPr>
        <sz val="11"/>
        <color theme="1"/>
        <rFont val="Arial"/>
        <family val="2"/>
      </rPr>
      <t xml:space="preserve">24VDC
</t>
    </r>
    <r>
      <rPr>
        <sz val="11"/>
        <color theme="1"/>
        <rFont val="DejaVu Sans"/>
        <family val="1"/>
        <charset val="136"/>
      </rPr>
      <t>◆</t>
    </r>
    <r>
      <rPr>
        <sz val="11"/>
        <color theme="1"/>
        <rFont val="Arial"/>
        <family val="2"/>
      </rPr>
      <t xml:space="preserve"> </t>
    </r>
    <r>
      <rPr>
        <sz val="11"/>
        <color theme="1"/>
        <rFont val="微軟正黑體"/>
        <family val="2"/>
        <charset val="136"/>
      </rPr>
      <t>功率因數：</t>
    </r>
    <r>
      <rPr>
        <sz val="11"/>
        <color theme="1"/>
        <rFont val="Arial"/>
        <family val="2"/>
      </rPr>
      <t xml:space="preserve">)0.4
</t>
    </r>
    <r>
      <rPr>
        <sz val="11"/>
        <color theme="1"/>
        <rFont val="DejaVu Sans"/>
        <family val="1"/>
        <charset val="136"/>
      </rPr>
      <t>◆</t>
    </r>
    <r>
      <rPr>
        <sz val="11"/>
        <color theme="1"/>
        <rFont val="Arial"/>
        <family val="2"/>
      </rPr>
      <t xml:space="preserve"> </t>
    </r>
    <r>
      <rPr>
        <sz val="11"/>
        <color theme="1"/>
        <rFont val="微軟正黑體"/>
        <family val="2"/>
        <charset val="136"/>
      </rPr>
      <t>演色性：</t>
    </r>
    <r>
      <rPr>
        <sz val="11"/>
        <color theme="1"/>
        <rFont val="Arial"/>
        <family val="2"/>
      </rPr>
      <t xml:space="preserve">Ra)97
</t>
    </r>
    <r>
      <rPr>
        <sz val="11"/>
        <color theme="1"/>
        <rFont val="DejaVu Sans"/>
        <family val="1"/>
        <charset val="136"/>
      </rPr>
      <t>◆</t>
    </r>
    <r>
      <rPr>
        <sz val="11"/>
        <color theme="1"/>
        <rFont val="Arial"/>
        <family val="2"/>
      </rPr>
      <t xml:space="preserve"> </t>
    </r>
    <r>
      <rPr>
        <sz val="11"/>
        <color theme="1"/>
        <rFont val="微軟正黑體"/>
        <family val="2"/>
        <charset val="136"/>
      </rPr>
      <t>色溫：</t>
    </r>
    <r>
      <rPr>
        <sz val="11"/>
        <color theme="1"/>
        <rFont val="Arial"/>
        <family val="2"/>
      </rPr>
      <t>5</t>
    </r>
    <r>
      <rPr>
        <sz val="11"/>
        <color theme="1"/>
        <rFont val="微軟正黑體"/>
        <family val="2"/>
        <charset val="136"/>
      </rPr>
      <t>種情境色溫
｜</t>
    </r>
    <r>
      <rPr>
        <sz val="11"/>
        <color theme="1"/>
        <rFont val="Arial"/>
        <family val="2"/>
      </rPr>
      <t>2700K</t>
    </r>
    <r>
      <rPr>
        <sz val="11"/>
        <color theme="1"/>
        <rFont val="微軟正黑體"/>
        <family val="2"/>
        <charset val="136"/>
      </rPr>
      <t>夜間閱讀黃光｜</t>
    </r>
    <r>
      <rPr>
        <sz val="11"/>
        <color theme="1"/>
        <rFont val="Arial"/>
        <family val="2"/>
      </rPr>
      <t>3000K</t>
    </r>
    <r>
      <rPr>
        <sz val="11"/>
        <color theme="1"/>
        <rFont val="微軟正黑體"/>
        <family val="2"/>
        <charset val="136"/>
      </rPr>
      <t>休閒黃光｜</t>
    </r>
    <r>
      <rPr>
        <sz val="11"/>
        <color theme="1"/>
        <rFont val="Arial"/>
        <family val="2"/>
      </rPr>
      <t>4000K</t>
    </r>
    <r>
      <rPr>
        <sz val="11"/>
        <color theme="1"/>
        <rFont val="微軟正黑體"/>
        <family val="2"/>
        <charset val="136"/>
      </rPr>
      <t>舒適自然光｜</t>
    </r>
    <r>
      <rPr>
        <sz val="11"/>
        <color theme="1"/>
        <rFont val="Arial"/>
        <family val="2"/>
      </rPr>
      <t>5000K</t>
    </r>
    <r>
      <rPr>
        <sz val="11"/>
        <color theme="1"/>
        <rFont val="微軟正黑體"/>
        <family val="2"/>
        <charset val="136"/>
      </rPr>
      <t>閱讀白光｜</t>
    </r>
    <r>
      <rPr>
        <sz val="11"/>
        <color theme="1"/>
        <rFont val="Arial"/>
        <family val="2"/>
      </rPr>
      <t>6500K</t>
    </r>
    <r>
      <rPr>
        <sz val="11"/>
        <color theme="1"/>
        <rFont val="微軟正黑體"/>
        <family val="2"/>
        <charset val="136"/>
      </rPr>
      <t>專注白光
◆</t>
    </r>
    <r>
      <rPr>
        <sz val="11"/>
        <color theme="1"/>
        <rFont val="Arial"/>
        <family val="2"/>
      </rPr>
      <t xml:space="preserve"> </t>
    </r>
    <r>
      <rPr>
        <sz val="11"/>
        <color theme="1"/>
        <rFont val="微軟正黑體"/>
        <family val="2"/>
        <charset val="136"/>
      </rPr>
      <t>亮度：五段亮度調節
◆</t>
    </r>
    <r>
      <rPr>
        <sz val="11"/>
        <color theme="1"/>
        <rFont val="Arial"/>
        <family val="2"/>
      </rPr>
      <t xml:space="preserve"> </t>
    </r>
    <r>
      <rPr>
        <sz val="11"/>
        <color theme="1"/>
        <rFont val="微軟正黑體"/>
        <family val="2"/>
        <charset val="136"/>
      </rPr>
      <t>開關：觸控開關、</t>
    </r>
    <r>
      <rPr>
        <sz val="11"/>
        <color theme="1"/>
        <rFont val="Arial"/>
        <family val="2"/>
      </rPr>
      <t>50</t>
    </r>
    <r>
      <rPr>
        <sz val="11"/>
        <color theme="1"/>
        <rFont val="微軟正黑體"/>
        <family val="2"/>
        <charset val="136"/>
      </rPr>
      <t>分鐘關燈休息提醒
◆</t>
    </r>
    <r>
      <rPr>
        <sz val="11"/>
        <color theme="1"/>
        <rFont val="Arial"/>
        <family val="2"/>
      </rPr>
      <t xml:space="preserve"> </t>
    </r>
    <r>
      <rPr>
        <sz val="11"/>
        <color theme="1"/>
        <rFont val="微軟正黑體"/>
        <family val="2"/>
        <charset val="136"/>
      </rPr>
      <t>照度：</t>
    </r>
    <r>
      <rPr>
        <sz val="11"/>
        <color theme="1"/>
        <rFont val="Arial"/>
        <family val="2"/>
      </rPr>
      <t>2000 lux (40cm</t>
    </r>
    <r>
      <rPr>
        <sz val="11"/>
        <color theme="1"/>
        <rFont val="微軟正黑體"/>
        <family val="2"/>
        <charset val="136"/>
      </rPr>
      <t>中心點</t>
    </r>
    <r>
      <rPr>
        <sz val="11"/>
        <color theme="1"/>
        <rFont val="Arial"/>
        <family val="2"/>
      </rPr>
      <t xml:space="preserve">)
</t>
    </r>
    <r>
      <rPr>
        <sz val="11"/>
        <color theme="1"/>
        <rFont val="DejaVu Sans"/>
        <family val="1"/>
        <charset val="136"/>
      </rPr>
      <t>◆</t>
    </r>
    <r>
      <rPr>
        <sz val="11"/>
        <color theme="1"/>
        <rFont val="Arial"/>
        <family val="2"/>
      </rPr>
      <t xml:space="preserve"> </t>
    </r>
    <r>
      <rPr>
        <sz val="11"/>
        <color theme="1"/>
        <rFont val="微軟正黑體"/>
        <family val="2"/>
        <charset val="136"/>
      </rPr>
      <t>材質：鋁合金、</t>
    </r>
    <r>
      <rPr>
        <sz val="11"/>
        <color theme="1"/>
        <rFont val="Arial"/>
        <family val="2"/>
      </rPr>
      <t xml:space="preserve">ABS
</t>
    </r>
    <r>
      <rPr>
        <sz val="11"/>
        <color theme="1"/>
        <rFont val="DejaVu Sans"/>
        <family val="1"/>
        <charset val="136"/>
      </rPr>
      <t>◆</t>
    </r>
    <r>
      <rPr>
        <sz val="11"/>
        <color theme="1"/>
        <rFont val="Arial"/>
        <family val="2"/>
      </rPr>
      <t xml:space="preserve"> </t>
    </r>
    <r>
      <rPr>
        <sz val="11"/>
        <color theme="1"/>
        <rFont val="微軟正黑體"/>
        <family val="2"/>
        <charset val="136"/>
      </rPr>
      <t>燈具重量：</t>
    </r>
    <r>
      <rPr>
        <sz val="11"/>
        <color theme="1"/>
        <rFont val="Arial"/>
        <family val="2"/>
      </rPr>
      <t xml:space="preserve">1270g
</t>
    </r>
    <r>
      <rPr>
        <sz val="11"/>
        <color theme="1"/>
        <rFont val="DejaVu Sans"/>
        <family val="1"/>
        <charset val="136"/>
      </rPr>
      <t>◆</t>
    </r>
    <r>
      <rPr>
        <sz val="11"/>
        <color theme="1"/>
        <rFont val="Arial"/>
        <family val="2"/>
      </rPr>
      <t xml:space="preserve"> </t>
    </r>
    <r>
      <rPr>
        <sz val="11"/>
        <color theme="1"/>
        <rFont val="微軟正黑體"/>
        <family val="2"/>
        <charset val="136"/>
      </rPr>
      <t>底座重量</t>
    </r>
    <r>
      <rPr>
        <sz val="11"/>
        <color theme="1"/>
        <rFont val="Arial"/>
        <family val="2"/>
      </rPr>
      <t xml:space="preserve"> : 3.78kg
</t>
    </r>
    <r>
      <rPr>
        <sz val="11"/>
        <color theme="1"/>
        <rFont val="DejaVu Sans"/>
        <family val="1"/>
        <charset val="136"/>
      </rPr>
      <t>◆</t>
    </r>
    <r>
      <rPr>
        <sz val="11"/>
        <color theme="1"/>
        <rFont val="Arial"/>
        <family val="2"/>
      </rPr>
      <t xml:space="preserve"> </t>
    </r>
    <r>
      <rPr>
        <sz val="11"/>
        <color theme="1"/>
        <rFont val="微軟正黑體"/>
        <family val="2"/>
        <charset val="136"/>
      </rPr>
      <t>燈罩</t>
    </r>
    <r>
      <rPr>
        <sz val="11"/>
        <color theme="1"/>
        <rFont val="Arial"/>
        <family val="2"/>
      </rPr>
      <t>60cm,</t>
    </r>
    <r>
      <rPr>
        <sz val="11"/>
        <color theme="1"/>
        <rFont val="微軟正黑體"/>
        <family val="2"/>
        <charset val="136"/>
      </rPr>
      <t>上臂</t>
    </r>
    <r>
      <rPr>
        <sz val="11"/>
        <color theme="1"/>
        <rFont val="Arial"/>
        <family val="2"/>
      </rPr>
      <t>33.6cm,</t>
    </r>
    <r>
      <rPr>
        <sz val="11"/>
        <color theme="1"/>
        <rFont val="微軟正黑體"/>
        <family val="2"/>
        <charset val="136"/>
      </rPr>
      <t>下臂</t>
    </r>
    <r>
      <rPr>
        <sz val="11"/>
        <color theme="1"/>
        <rFont val="Arial"/>
        <family val="2"/>
      </rPr>
      <t>49.4cm,</t>
    </r>
    <r>
      <rPr>
        <sz val="11"/>
        <color theme="1"/>
        <rFont val="微軟正黑體"/>
        <family val="2"/>
        <charset val="136"/>
      </rPr>
      <t>桌夾高</t>
    </r>
    <r>
      <rPr>
        <sz val="11"/>
        <color theme="1"/>
        <rFont val="Arial"/>
        <family val="2"/>
      </rPr>
      <t xml:space="preserve">11.5cm
</t>
    </r>
    <r>
      <rPr>
        <sz val="11"/>
        <color theme="1"/>
        <rFont val="DejaVu Sans"/>
        <family val="1"/>
        <charset val="136"/>
      </rPr>
      <t>◆</t>
    </r>
    <r>
      <rPr>
        <sz val="11"/>
        <color theme="1"/>
        <rFont val="Arial"/>
        <family val="2"/>
      </rPr>
      <t xml:space="preserve"> </t>
    </r>
    <r>
      <rPr>
        <sz val="11"/>
        <color theme="1"/>
        <rFont val="微軟正黑體"/>
        <family val="2"/>
        <charset val="136"/>
      </rPr>
      <t>底座</t>
    </r>
    <r>
      <rPr>
        <sz val="11"/>
        <color theme="1"/>
        <rFont val="Arial"/>
        <family val="2"/>
      </rPr>
      <t>:</t>
    </r>
    <r>
      <rPr>
        <sz val="11"/>
        <color theme="1"/>
        <rFont val="微軟正黑體"/>
        <family val="2"/>
        <charset val="136"/>
      </rPr>
      <t>長</t>
    </r>
    <r>
      <rPr>
        <sz val="11"/>
        <color theme="1"/>
        <rFont val="Arial"/>
        <family val="2"/>
      </rPr>
      <t>22*</t>
    </r>
    <r>
      <rPr>
        <sz val="11"/>
        <color theme="1"/>
        <rFont val="微軟正黑體"/>
        <family val="2"/>
        <charset val="136"/>
      </rPr>
      <t>寬</t>
    </r>
    <r>
      <rPr>
        <sz val="11"/>
        <color theme="1"/>
        <rFont val="Arial"/>
        <family val="2"/>
      </rPr>
      <t>17*</t>
    </r>
    <r>
      <rPr>
        <sz val="11"/>
        <color theme="1"/>
        <rFont val="微軟正黑體"/>
        <family val="2"/>
        <charset val="136"/>
      </rPr>
      <t>厚</t>
    </r>
    <r>
      <rPr>
        <sz val="11"/>
        <color theme="1"/>
        <rFont val="Arial"/>
        <family val="2"/>
      </rPr>
      <t xml:space="preserve">4cm, </t>
    </r>
    <r>
      <rPr>
        <sz val="11"/>
        <color theme="1"/>
        <rFont val="微軟正黑體"/>
        <family val="2"/>
        <charset val="136"/>
      </rPr>
      <t>重量</t>
    </r>
    <r>
      <rPr>
        <sz val="11"/>
        <color theme="1"/>
        <rFont val="Arial"/>
        <family val="2"/>
      </rPr>
      <t xml:space="preserve">3.7kg
</t>
    </r>
    <r>
      <rPr>
        <sz val="11"/>
        <color theme="1"/>
        <rFont val="DejaVu Sans"/>
        <family val="1"/>
        <charset val="136"/>
      </rPr>
      <t>◆</t>
    </r>
    <r>
      <rPr>
        <sz val="11"/>
        <color theme="1"/>
        <rFont val="Arial"/>
        <family val="2"/>
      </rPr>
      <t xml:space="preserve"> </t>
    </r>
    <r>
      <rPr>
        <sz val="11"/>
        <color theme="1"/>
        <rFont val="微軟正黑體"/>
        <family val="2"/>
        <charset val="136"/>
      </rPr>
      <t>全新升級保固：整燈保固</t>
    </r>
    <r>
      <rPr>
        <sz val="11"/>
        <color theme="1"/>
        <rFont val="Arial"/>
        <family val="2"/>
      </rPr>
      <t>2</t>
    </r>
    <r>
      <rPr>
        <sz val="11"/>
        <color theme="1"/>
        <rFont val="微軟正黑體"/>
        <family val="2"/>
        <charset val="136"/>
      </rPr>
      <t>年</t>
    </r>
    <r>
      <rPr>
        <sz val="11"/>
        <color theme="1"/>
        <rFont val="Arial"/>
        <family val="2"/>
      </rPr>
      <t>/</t>
    </r>
    <r>
      <rPr>
        <sz val="11"/>
        <color theme="1"/>
        <rFont val="微軟正黑體"/>
        <family val="2"/>
        <charset val="136"/>
      </rPr>
      <t>燈珠保固</t>
    </r>
    <r>
      <rPr>
        <sz val="11"/>
        <color theme="1"/>
        <rFont val="Arial"/>
        <family val="2"/>
      </rPr>
      <t>3</t>
    </r>
    <r>
      <rPr>
        <sz val="11"/>
        <color theme="1"/>
        <rFont val="微軟正黑體"/>
        <family val="2"/>
        <charset val="136"/>
      </rPr>
      <t>年</t>
    </r>
    <r>
      <rPr>
        <sz val="11"/>
        <color theme="1"/>
        <rFont val="Arial"/>
        <family val="2"/>
      </rPr>
      <t>(2025</t>
    </r>
    <r>
      <rPr>
        <sz val="11"/>
        <color theme="1"/>
        <rFont val="微軟正黑體"/>
        <family val="2"/>
        <charset val="136"/>
      </rPr>
      <t>年</t>
    </r>
    <r>
      <rPr>
        <sz val="11"/>
        <color theme="1"/>
        <rFont val="Arial"/>
        <family val="2"/>
      </rPr>
      <t>3</t>
    </r>
    <r>
      <rPr>
        <sz val="11"/>
        <color theme="1"/>
        <rFont val="微軟正黑體"/>
        <family val="2"/>
        <charset val="136"/>
      </rPr>
      <t>月起算</t>
    </r>
    <r>
      <rPr>
        <sz val="11"/>
        <color theme="1"/>
        <rFont val="Arial"/>
        <family val="2"/>
      </rPr>
      <t xml:space="preserve">)
</t>
    </r>
    <r>
      <rPr>
        <sz val="11"/>
        <color theme="1"/>
        <rFont val="DejaVu Sans"/>
        <family val="1"/>
        <charset val="136"/>
      </rPr>
      <t>◆</t>
    </r>
    <r>
      <rPr>
        <sz val="11"/>
        <color theme="1"/>
        <rFont val="Arial"/>
        <family val="2"/>
      </rPr>
      <t xml:space="preserve"> </t>
    </r>
    <r>
      <rPr>
        <sz val="11"/>
        <color theme="1"/>
        <rFont val="微軟正黑體"/>
        <family val="2"/>
        <charset val="136"/>
      </rPr>
      <t>配件：</t>
    </r>
    <r>
      <rPr>
        <sz val="11"/>
        <color theme="1"/>
        <rFont val="Arial"/>
        <family val="2"/>
      </rPr>
      <t>TIONE</t>
    </r>
    <r>
      <rPr>
        <sz val="11"/>
        <color theme="1"/>
        <rFont val="微軟正黑體"/>
        <family val="2"/>
        <charset val="136"/>
      </rPr>
      <t>桌夾款</t>
    </r>
    <r>
      <rPr>
        <sz val="11"/>
        <color theme="1"/>
        <rFont val="Arial"/>
        <family val="2"/>
      </rPr>
      <t xml:space="preserve">x1, </t>
    </r>
    <r>
      <rPr>
        <sz val="11"/>
        <color theme="1"/>
        <rFont val="微軟正黑體"/>
        <family val="2"/>
        <charset val="136"/>
      </rPr>
      <t>底座</t>
    </r>
    <r>
      <rPr>
        <sz val="11"/>
        <color theme="1"/>
        <rFont val="Arial"/>
        <family val="2"/>
      </rPr>
      <t>(</t>
    </r>
    <r>
      <rPr>
        <sz val="11"/>
        <color theme="1"/>
        <rFont val="微軟正黑體"/>
        <family val="2"/>
        <charset val="136"/>
      </rPr>
      <t>贈品</t>
    </r>
    <r>
      <rPr>
        <sz val="11"/>
        <color theme="1"/>
        <rFont val="Arial"/>
        <family val="2"/>
      </rPr>
      <t>)x1,</t>
    </r>
    <r>
      <rPr>
        <sz val="11"/>
        <color theme="1"/>
        <rFont val="微軟正黑體"/>
        <family val="2"/>
        <charset val="136"/>
      </rPr>
      <t>電源供應器</t>
    </r>
    <r>
      <rPr>
        <sz val="11"/>
        <color theme="1"/>
        <rFont val="Arial"/>
        <family val="2"/>
      </rPr>
      <t>x1,</t>
    </r>
    <r>
      <rPr>
        <sz val="11"/>
        <color theme="1"/>
        <rFont val="微軟正黑體"/>
        <family val="2"/>
        <charset val="136"/>
      </rPr>
      <t>說明書</t>
    </r>
    <r>
      <rPr>
        <sz val="11"/>
        <color theme="1"/>
        <rFont val="Arial"/>
        <family val="2"/>
      </rPr>
      <t xml:space="preserve">x1
</t>
    </r>
    <r>
      <rPr>
        <sz val="11"/>
        <color theme="1"/>
        <rFont val="微軟正黑體"/>
        <family val="2"/>
        <charset val="136"/>
      </rPr>
      <t>桌夾款．補充說明
◆</t>
    </r>
    <r>
      <rPr>
        <sz val="11"/>
        <color theme="1"/>
        <rFont val="Arial"/>
        <family val="2"/>
      </rPr>
      <t xml:space="preserve"> </t>
    </r>
    <r>
      <rPr>
        <sz val="11"/>
        <color theme="1"/>
        <rFont val="微軟正黑體"/>
        <family val="2"/>
        <charset val="136"/>
      </rPr>
      <t>適用桌子厚度：</t>
    </r>
    <r>
      <rPr>
        <sz val="11"/>
        <color theme="1"/>
        <rFont val="Arial"/>
        <family val="2"/>
      </rPr>
      <t>1.5</t>
    </r>
    <r>
      <rPr>
        <sz val="11"/>
        <color theme="1"/>
        <rFont val="微軟正黑體"/>
        <family val="2"/>
        <charset val="136"/>
      </rPr>
      <t>公分</t>
    </r>
    <r>
      <rPr>
        <sz val="11"/>
        <color theme="1"/>
        <rFont val="Arial"/>
        <family val="2"/>
      </rPr>
      <t>~10</t>
    </r>
    <r>
      <rPr>
        <sz val="11"/>
        <color theme="1"/>
        <rFont val="微軟正黑體"/>
        <family val="2"/>
        <charset val="136"/>
      </rPr>
      <t>公分之間
◆</t>
    </r>
    <r>
      <rPr>
        <sz val="11"/>
        <color theme="1"/>
        <rFont val="Arial"/>
        <family val="2"/>
      </rPr>
      <t xml:space="preserve"> </t>
    </r>
    <r>
      <rPr>
        <sz val="11"/>
        <color theme="1"/>
        <rFont val="微軟正黑體"/>
        <family val="2"/>
        <charset val="136"/>
      </rPr>
      <t>備註</t>
    </r>
    <r>
      <rPr>
        <sz val="11"/>
        <color theme="1"/>
        <rFont val="Arial"/>
        <family val="2"/>
      </rPr>
      <t>1</t>
    </r>
    <r>
      <rPr>
        <sz val="11"/>
        <color theme="1"/>
        <rFont val="微軟正黑體"/>
        <family val="2"/>
        <charset val="136"/>
      </rPr>
      <t>：桌夾款為「單向桌夾式」，僅能「平行」桌面夾式使用，非立式使用。
◆</t>
    </r>
    <r>
      <rPr>
        <sz val="11"/>
        <color theme="1"/>
        <rFont val="Arial"/>
        <family val="2"/>
      </rPr>
      <t xml:space="preserve"> </t>
    </r>
    <r>
      <rPr>
        <sz val="11"/>
        <color theme="1"/>
        <rFont val="微軟正黑體"/>
        <family val="2"/>
        <charset val="136"/>
      </rPr>
      <t>備註</t>
    </r>
    <r>
      <rPr>
        <sz val="11"/>
        <color theme="1"/>
        <rFont val="Arial"/>
        <family val="2"/>
      </rPr>
      <t>2</t>
    </r>
    <r>
      <rPr>
        <sz val="11"/>
        <color theme="1"/>
        <rFont val="微軟正黑體"/>
        <family val="2"/>
        <charset val="136"/>
      </rPr>
      <t>：建議安裝於桌板，不適合安裝在管型材料，不可夾鐵棒。
◆</t>
    </r>
    <r>
      <rPr>
        <sz val="11"/>
        <color theme="1"/>
        <rFont val="Arial"/>
        <family val="2"/>
      </rPr>
      <t xml:space="preserve"> </t>
    </r>
    <r>
      <rPr>
        <sz val="11"/>
        <color theme="1"/>
        <rFont val="微軟正黑體"/>
        <family val="2"/>
        <charset val="136"/>
      </rPr>
      <t xml:space="preserve">權威推荐：諾貝爾眼科院長推薦
市調資料：
</t>
    </r>
    <r>
      <rPr>
        <sz val="11"/>
        <color theme="1"/>
        <rFont val="Arial"/>
        <family val="2"/>
      </rPr>
      <t>slogan</t>
    </r>
    <r>
      <rPr>
        <sz val="11"/>
        <color theme="1"/>
        <rFont val="微軟正黑體"/>
        <family val="2"/>
        <charset val="136"/>
      </rPr>
      <t>：「陪他長大的第一盞光，值得挑得用心。」
目標受眾：</t>
    </r>
    <r>
      <rPr>
        <sz val="11"/>
        <color theme="1"/>
        <rFont val="Arial"/>
        <family val="2"/>
      </rPr>
      <t>6</t>
    </r>
    <r>
      <rPr>
        <sz val="11"/>
        <color theme="1"/>
        <rFont val="DejaVu Sans"/>
        <family val="2"/>
        <charset val="136"/>
      </rPr>
      <t>–</t>
    </r>
    <r>
      <rPr>
        <sz val="11"/>
        <color theme="1"/>
        <rFont val="Arial"/>
        <family val="2"/>
      </rPr>
      <t xml:space="preserve">12 </t>
    </r>
    <r>
      <rPr>
        <sz val="11"/>
        <color theme="1"/>
        <rFont val="微軟正黑體"/>
        <family val="2"/>
        <charset val="136"/>
      </rPr>
      <t>歲學齡兒童父母</t>
    </r>
    <r>
      <rPr>
        <sz val="11"/>
        <color theme="1"/>
        <rFont val="Arial"/>
        <family val="2"/>
      </rPr>
      <t xml:space="preserve"> · </t>
    </r>
    <r>
      <rPr>
        <sz val="11"/>
        <color theme="1"/>
        <rFont val="微軟正黑體"/>
        <family val="2"/>
        <charset val="136"/>
      </rPr>
      <t>正在為孩子佈置／升級書桌的家庭
對應痛點：低頭太久不休息</t>
    </r>
    <r>
      <rPr>
        <sz val="11"/>
        <color theme="1"/>
        <rFont val="Arial"/>
        <family val="2"/>
      </rPr>
      <t xml:space="preserve"> / </t>
    </r>
    <r>
      <rPr>
        <sz val="11"/>
        <color theme="1"/>
        <rFont val="微軟正黑體"/>
        <family val="2"/>
        <charset val="136"/>
      </rPr>
      <t>擔心近視、</t>
    </r>
    <r>
      <rPr>
        <sz val="11"/>
        <color theme="1"/>
        <rFont val="Arial"/>
        <family val="2"/>
      </rPr>
      <t xml:space="preserve">3 </t>
    </r>
    <r>
      <rPr>
        <sz val="11"/>
        <color theme="1"/>
        <rFont val="微軟正黑體"/>
        <family val="2"/>
        <charset val="136"/>
      </rPr>
      <t>成護眼燈不合格
情緒目標：愛、陪伴、為孩子準備未來的成就感</t>
    </r>
    <r>
      <rPr>
        <sz val="11"/>
        <color theme="1"/>
        <rFont val="Arial"/>
        <family val="2"/>
      </rPr>
      <t xml:space="preserve"> </t>
    </r>
    <r>
      <rPr>
        <sz val="11"/>
        <color theme="1"/>
        <rFont val="DejaVu Sans"/>
        <family val="2"/>
        <charset val="136"/>
      </rPr>
      <t>—</t>
    </r>
    <r>
      <rPr>
        <sz val="11"/>
        <color theme="1"/>
        <rFont val="微軟正黑體"/>
        <family val="2"/>
        <charset val="136"/>
      </rPr>
      <t>「這盞燈會陪著他從注音一路走到畢業」</t>
    </r>
    <phoneticPr fontId="3" type="noConversion"/>
  </si>
  <si>
    <t>鏡頭運動：固定側面中景鏡頭(static side medium shot)，鏡頭與書桌齊高；鏡頭固定不動。角色動作：一開始孩子背微弓、頭壓低，右手握鉛筆寫作業，眼睛距離紙面不到20公分，身體完全沉浸在作業中，沒有意識到姿勢不良。後來抬燈突然熄掉，孩子抬頭看抬燈微微驚訝，接著小聲說：「啊，50分鐘到了。」（10歲男孩聲線、語氣帶有「咦，已經這麼久了」的後知後覺，平淡但溫柔）。場景／背景氛圍：背景音是清晰的鉛筆「沙沙」聲、孩子偶爾的呼吸聲；書桌上散落書本、橡皮擦；房間色調溫暖但桌面光線色溫是抬燈的6500K；氛圍呈現「孩子認真但姿勢危險」的衝突點，是建立護眼問題的關鍵畫面。</t>
    <phoneticPr fontId="3" type="noConversion"/>
  </si>
  <si>
    <t>鏡頭運動：鏡頭固定不動。
角色動作：原本門是關著，後來小孩打開門。
背景音：清晰的轉動把手的聲音和開門聲。</t>
    <phoneticPr fontId="3" type="noConversion"/>
  </si>
  <si>
    <t>小孩到她身邊看著她炒菜。
最後，畫面定格：母子兩人在那道暖光下。
旁白：
「50分鐘到了。」
「他記不得休息，但燈記得。」</t>
    <phoneticPr fontId="3" type="noConversion"/>
  </si>
  <si>
    <t>場景2-2-1</t>
    <phoneticPr fontId="3" type="noConversion"/>
  </si>
  <si>
    <t xml:space="preserve">以 「場景2-2-1」 為基礎，改成角色抬頭望向畫面的右邊中間偏下方一點點，且側臉轉向角色的左邊一點點，並微笑。
</t>
    <phoneticPr fontId="3" type="noConversion"/>
  </si>
  <si>
    <t>場景2-2-2</t>
    <phoneticPr fontId="3" type="noConversion"/>
  </si>
  <si>
    <t>場景2-4</t>
    <phoneticPr fontId="3" type="noConversion"/>
  </si>
  <si>
    <t>場景2-2</t>
    <phoneticPr fontId="3" type="noConversion"/>
  </si>
  <si>
    <t>拉近鏡頭，從 「場景2-1-2」 中擷取小孩所在部份，改成中景，小孩動作變站立不動，同時表情改成面向畫面左上方微笑。</t>
    <phoneticPr fontId="3" type="noConversion"/>
  </si>
  <si>
    <t>後來考慮視覺效果，有把小孩的位置從右邊第二個房間前改到走廊末尾的房間。</t>
    <phoneticPr fontId="3" type="noConversion"/>
  </si>
  <si>
    <t>鏡頭運動：固定走廊中景(static shot)，緩慢推進(slow dolly-in)從中景到中近景，鎖定孩子的臉。
角色動作：孩子嘴角一直淺淺地微笑著。</t>
    <phoneticPr fontId="3" type="noConversion"/>
  </si>
  <si>
    <t>場景2-3</t>
    <phoneticPr fontId="3" type="noConversion"/>
  </si>
  <si>
    <t>實際影片3s，可用的部份是前1s。</t>
    <phoneticPr fontId="3" type="noConversion"/>
  </si>
  <si>
    <t>對白／旁白：旁白以溫柔、稍有重量的女聲依序進入：「50分鐘到了。」（停約0.3秒）「他記不得休息，但燈記得。」（語氣像是溫柔的旁觀者在替母親說出心聲，尾音輕落）。字卡可同步逐字浮現於畫面下方。
鏡頭運動：固定中景(static medium shot)。
角色動作：媽媽繼續溫柔的微笑著炒菜（動作放慢），小孩從畫面右邊走入，站到媽媽身後（或側邊）靜靜看著她；小孩表情放鬆，不說話；最後畫面定格在這個母子並肩的瞬間。
場景／背景氛圍：背景音降到極簡（炒菜聲輕柔延續，環境音淡出）；色調以廚房暖黃光為主、整體飽和度略降，營造定格紀念感。</t>
    <phoneticPr fontId="3" type="noConversion"/>
  </si>
  <si>
    <t>以  「場景2-4-1」 為基礎，把 「場景2-3」   中的小孩加到畫面右方，小孩位置在 「場景2-4-1」 中的角色的身後一段距離靜靜看著  「場景2-4-1」 中的角色炒菜，表情放鬆。</t>
    <phoneticPr fontId="3" type="noConversion"/>
  </si>
  <si>
    <t>產生影片提示詞</t>
    <phoneticPr fontId="3" type="noConversion"/>
  </si>
  <si>
    <t>以  「場景1-2-2 」 中的場景和角色為基礎，讓角色正坐在椅子上，並照下列要求調整圖片。
鏡頭角度：過肩寬中景構圖，鏡頭從 Mark 背後正中央水平拍攝，距離他約 1 公尺，視線高度與椅背頂端同高。
構圖：畫面正中是 Mark 靠在人體工學椅椅背上的後腦與肩線；前方是書桌上的草稿紙，和 「場景1-2-2 」中的桌上物品，護眼燈的光暈籠罩桌面。
主體：Mark 放鬆的後腦與肩線、被燈光照亮的草稿本，組成「人物—工具—夢想」三點視覺對話，護眼燈長如  「商品圖」 ，請依需求讓護眼燈只露出在畫面中部份就好。
光線：與 「場景1-2-2」 中一致，整個房間是一個色溫，右側護眼燈的4000k色溫，暖前景／冷背景對比明顯。氛圍：暫停、沉澱、沒有壓力的「自由開始」前一刻；像在按下播放鍵之前，先深呼吸一口。</t>
    <phoneticPr fontId="3" type="noConversion"/>
  </si>
  <si>
    <t>電腦螢幕上的視窗逐個淡出消失，直到視窗全部消失，每個視窗消失前都有點擊滑鼠的click聲音，鏡頭從頭到尾固定不動。</t>
    <phoneticPr fontId="3" type="noConversion"/>
  </si>
  <si>
    <t>1-1</t>
    <phoneticPr fontId="3" type="noConversion"/>
  </si>
  <si>
    <t>時鐘上小時和分鐘中間的冒號一閃一閃的，鏡頭從頭到尾固定不動。</t>
    <phoneticPr fontId="3" type="noConversion"/>
  </si>
  <si>
    <t>後來有再把護眼燈光線的色溫調至4000K。</t>
    <phoneticPr fontId="3" type="noConversion"/>
  </si>
  <si>
    <t>以 「場景1-2-1」 為基礎，畫面中男性動作改為要從桌子抽屜中拿東西的動作。</t>
    <phoneticPr fontId="3" type="noConversion"/>
  </si>
  <si>
    <t>以 「場景1-2-1」 為基礎，畫面中男性動作改為拿一疊紙放到桌上，紙上有一些APP的介面設計。</t>
    <phoneticPr fontId="3" type="noConversion"/>
  </si>
  <si>
    <t>起：場景1-1-1
迄：場景1-1-2</t>
    <phoneticPr fontId="3" type="noConversion"/>
  </si>
  <si>
    <t>後來改成角色手握滑鼠。</t>
    <phoneticPr fontId="3" type="noConversion"/>
  </si>
  <si>
    <t>場景1-2-1</t>
    <phoneticPr fontId="3" type="noConversion"/>
  </si>
  <si>
    <t>場景1-2-3</t>
    <phoneticPr fontId="3" type="noConversion"/>
  </si>
  <si>
    <t>場景1-2-2</t>
    <phoneticPr fontId="3" type="noConversion"/>
  </si>
  <si>
    <t>原本只用「場景1-2-1」產生影片，但結果光線和「場景1-2-3」差異過大。
為控制光線一致性，故把原本產生的影片的尾幀擷圖，再把尾幀擷圖和「場景1-2-3」的光線色溫、亮度統一，產生此圖供後續產影片時作為尾幀使用。</t>
    <phoneticPr fontId="3" type="noConversion"/>
  </si>
  <si>
    <t>能用的是中間1s，再擷出來重複播放以製造閃爍兩秒的效果。</t>
    <phoneticPr fontId="3" type="noConversion"/>
  </si>
  <si>
    <t>畫面中的男主鬆開滑鼠後舉起手點擊畫面外的護眼燈的開關，男主舉起手並伸出食指，接著手往畫面的右邊中間偏上方的方向舉，最後手掌前半超過畫面右邊邊界，
當男主手掌前半超過畫面右邊邊界點擊畫面外的護眼燈的開關後，護眼燈光線的色溫改成如 「場景1-2-2」 中的色溫，記得光線要自然融入畫面中，不要有割裂感，
接著，男主手放回滑鼠。</t>
    <phoneticPr fontId="3" type="noConversion"/>
  </si>
  <si>
    <t>場景1-2-4</t>
    <phoneticPr fontId="3" type="noConversion"/>
  </si>
  <si>
    <t>畫面中的男主從抽屜中拿出一疊草稿放桌上後，關上抽屜。鏡頭保持不變。
背景始終都以 「場景1-2-4」為主。</t>
    <phoneticPr fontId="3" type="noConversion"/>
  </si>
  <si>
    <t>實際影片3s，後2s可用，再剪出來並加速成1s。</t>
    <phoneticPr fontId="3" type="noConversion"/>
  </si>
  <si>
    <t>場景1-4-1</t>
    <phoneticPr fontId="3" type="noConversion"/>
  </si>
  <si>
    <t>場景1-4-2</t>
    <phoneticPr fontId="3" type="noConversion"/>
  </si>
  <si>
    <t>畫面中的物體均不動。
鏡頭從草稿左上方開始慢慢平順zoom out到看到完整畫面，並在最後停頓0.5秒，給觀眾時間閱讀草稿內容。</t>
    <phoneticPr fontId="3" type="noConversion"/>
  </si>
  <si>
    <t>長相普通的亞洲男性，年紀約25歲，不特別出眾，但要有點帥，
短髮，髮型為微分碎蓋，法式短髮，穿著輕鬆、有輕微設計感的服裝。
鏡頭從桌角位置仰拍他，他的動作是在桌上的紙上在畫草稿，草稿上是手繪的 app 設計內容，內容有目標客群、針對痛點、app首頁UI，專注但不緊繃，
所在地方是有點講究的小套房，要看得出來工作是講究生活的軟體工程師會喜歡的。</t>
    <phoneticPr fontId="3" type="noConversion"/>
  </si>
  <si>
    <t>場景2-1</t>
    <phoneticPr fontId="3" type="noConversion"/>
  </si>
  <si>
    <t>以 「場景2-1」 為基礎，色溫改為約 5000K-6500K，角色臉上些微疲憊，最靠近畫面的筆和白紙刪掉。畫面中男性的右手不拿筆，改成用食指指向畫面右上方。</t>
  </si>
  <si>
    <t>男主握著筆在白紙上逐漸畫出愈來愈多的UI線稿，他的眼神隨著筆尖移動，嘴角滿足地微笑，右手腕保持自然放鬆、沒有緊繃感，
鏡頭保持不動，背景音是筆滑過紙面的「沙沙」聲，光線一直保持白色暖光。</t>
    <phoneticPr fontId="3" type="noConversion"/>
  </si>
  <si>
    <t>後來有再修圖，增加一杯玫瑰茶。</t>
    <phoneticPr fontId="3" type="noConversion"/>
  </si>
  <si>
    <t>以「場景2-2-1」 為基礎，鏡頭角度、整體構圖、整體光線不變，草稿的位置再疊上三張白紙，並由畫面中的角色畫上全新的內容。</t>
    <phoneticPr fontId="3" type="noConversion"/>
  </si>
  <si>
    <t>一開始桌上只有一張草稿，但桌上的草稿一張一張地增加，且男主喝了桌上玫瑰茶後，玫瑰茶變少，也把玫瑰茶放在跟原本不同的地方。
鏡頭一直不動，但畫面有縮時效果，0-0.5秒男主喝了桌上玫瑰茶後，玫瑰茶變少，也把玫瑰茶放在跟原本不同的地方；0.5-1秒多出一份草稿；1-1.5秒多出一份草稿；1.5-2秒多出一份草稿；2-2.5秒男主再次喝一口玫瑰茶；2.5-3秒多出一份草稿。
背景音是紙張翻動聲、筆滑過紙面的沙沙聲，光線一直保持白色暖光。</t>
    <phoneticPr fontId="3" type="noConversion"/>
  </si>
  <si>
    <t>鏡頭從桌角位置仰拍他，他停下繪圖，接著伸了個懶腰並抬頭，順著他的眼神搖鏡到窗外夜景，示意他看了看窗外的夜景，停一下後，再搖鏡回他的正面，他再低頭繼續。
旁白：
「它不催你。不評判你。」
「只是在那裡，陪你把那件事做出來。」</t>
    <phoneticPr fontId="3" type="noConversion"/>
  </si>
  <si>
    <t>場景2-3-1</t>
    <phoneticPr fontId="3" type="noConversion"/>
  </si>
  <si>
    <t>一開始是「場景2-3-1」畫面，鏡頭不動，男子在草稿上畫了一下後停下，接著伸了個懶腰，接著抬頭看向正面上方，
接著鏡頭快速搖向右邊，接著轉換到「場景2-3-2」畫面，最後0.5秒，鏡頭再快速搖向左邊，轉回「場景2-3-1」畫面，男主繼續繪圖。
光線始終是白色暖光。</t>
    <phoneticPr fontId="3" type="noConversion"/>
  </si>
  <si>
    <t>場景2-3-2</t>
    <phoneticPr fontId="3" type="noConversion"/>
  </si>
  <si>
    <t>產生影片說明</t>
    <phoneticPr fontId="3" type="noConversion"/>
  </si>
  <si>
    <t>有使用首尾幀技術，
首幀：場景1-1-2
尾幀：場景1-2</t>
    <phoneticPr fontId="3" type="noConversion"/>
  </si>
  <si>
    <t>參考圖：場景1-3</t>
    <phoneticPr fontId="3" type="noConversion"/>
  </si>
  <si>
    <t>參考圖：場景1-4</t>
    <phoneticPr fontId="3" type="noConversion"/>
  </si>
  <si>
    <t>參考圖：場景1-5-2</t>
    <phoneticPr fontId="3" type="noConversion"/>
  </si>
  <si>
    <t>參考圖：場景1-6</t>
    <phoneticPr fontId="3" type="noConversion"/>
  </si>
  <si>
    <t>參考圖：場景2-1-1</t>
    <phoneticPr fontId="3" type="noConversion"/>
  </si>
  <si>
    <t>參考圖：場景2-1-2</t>
    <phoneticPr fontId="3" type="noConversion"/>
  </si>
  <si>
    <t>參考圖：場景2-3</t>
    <phoneticPr fontId="3" type="noConversion"/>
  </si>
  <si>
    <t>參考圖：場景2-4</t>
    <phoneticPr fontId="3" type="noConversion"/>
  </si>
  <si>
    <t>參考圖：場景3-1</t>
    <phoneticPr fontId="3" type="noConversion"/>
  </si>
  <si>
    <t>有使用首尾幀技術，
首幀：場景1-5-1
尾幀：場景1-5-2</t>
    <phoneticPr fontId="3" type="noConversion"/>
  </si>
  <si>
    <t>有使用首尾幀技術，
首幀：場景2-2-1
尾幀：場景2-2-2</t>
    <phoneticPr fontId="3" type="noConversion"/>
  </si>
  <si>
    <t>有使用首尾幀技術，
首幀：場景1-2-1
尾幀：場景1-2-2</t>
    <phoneticPr fontId="3" type="noConversion"/>
  </si>
  <si>
    <t>有使用首尾幀技術，
首幀：場景1-2-3
尾幀：場景1-2-4</t>
    <phoneticPr fontId="3" type="noConversion"/>
  </si>
  <si>
    <t>實際影片3s，為把時間留給後面重要場景，只擷取前1s來用。</t>
    <phoneticPr fontId="3" type="noConversion"/>
  </si>
  <si>
    <t>場景1-4(版本一)、
場景1-4(版本二)</t>
    <phoneticPr fontId="3" type="noConversion"/>
  </si>
  <si>
    <t>場景2-3-2、
場景2-3-2(備份)</t>
    <phoneticPr fontId="3" type="noConversion"/>
  </si>
  <si>
    <t>一開始是「場景3-1-1」畫面，鏡頭不動，男子在草稿上畫了一下後，接著鏡頭快速zoom out，轉換到「場景3-1-2」畫面。
zoom out時背景音有咻一聲。</t>
    <phoneticPr fontId="3" type="noConversion"/>
  </si>
  <si>
    <t>場景3-1-1</t>
    <phoneticPr fontId="3" type="noConversion"/>
  </si>
  <si>
    <t>有使用首尾幀技術，
首幀：場景3-1-1
尾幀：場景3-1-2</t>
    <phoneticPr fontId="3" type="noConversion"/>
  </si>
  <si>
    <t>預計片段時長(秒)</t>
    <phoneticPr fontId="3" type="noConversion"/>
  </si>
  <si>
    <t>有使用首尾幀技術，
首幀：場景3-1-2
尾幀：場景3-1-3</t>
    <phoneticPr fontId="3" type="noConversion"/>
  </si>
  <si>
    <t>一開始是「場景3-1-2」畫面，鏡頭不動，男子在草稿上畫了一下後，接著鏡頭慢慢zoom out，轉換到「場景3-1-3」畫面。
背景音，只有城市的喧囂聲。</t>
    <phoneticPr fontId="3" type="noConversion"/>
  </si>
  <si>
    <t>場景3-1-2</t>
    <phoneticPr fontId="3" type="noConversion"/>
  </si>
  <si>
    <t>一開始是「場景3-1-3」畫面，鏡頭不動，男子在草稿上畫了一下後，接著鏡頭快速zoom out，轉換到「場景3-1-4」畫面。
zoom out時背景音有咻一聲。</t>
    <phoneticPr fontId="3" type="noConversion"/>
  </si>
  <si>
    <t>場景3-1-3</t>
    <phoneticPr fontId="3" type="noConversion"/>
  </si>
  <si>
    <t>有使用首尾幀技術，
首幀：場景3-1-3
尾幀：場景3-1-4</t>
    <phoneticPr fontId="3" type="noConversion"/>
  </si>
  <si>
    <t>場景4-1</t>
    <phoneticPr fontId="3" type="noConversion"/>
  </si>
  <si>
    <t>參考圖：場景1-1-1</t>
    <phoneticPr fontId="3" type="noConversion"/>
  </si>
  <si>
    <t>參考圖：場景1-1-2</t>
    <phoneticPr fontId="3" type="noConversion"/>
  </si>
  <si>
    <t>參考圖：場景2-1</t>
    <phoneticPr fontId="3" type="noConversion"/>
  </si>
  <si>
    <t>鏡頭慢慢zoom in，旁白0-2秒以清楚、自信、稍快的語氣說出：「五種情境色溫，RA97接近自然光。」；2-4秒以低沉、溫柔、稍慢的語氣說出：「八小時之後，眼睛依然舒服。」</t>
    <phoneticPr fontId="3" type="noConversion"/>
  </si>
  <si>
    <t>參考圖：場景4-1。
原本預計生產3秒影片，但因時間太短，台詞講不完，所以產生4秒影片後製再縮短。</t>
    <phoneticPr fontId="3" type="noConversion"/>
  </si>
  <si>
    <t>書桌上，顯示燈的全貌，
旁白：
「五種情境色溫，Ra97接近自然光。
八小時之後，眼睛依然舒服。」
品牌 Logo 淡入：「喜光全光譜｜那兩小時，留給自己」。</t>
    <phoneticPr fontId="3" type="noConversion"/>
  </si>
  <si>
    <t>場景3-1-4</t>
    <phoneticPr fontId="3" type="noConversion"/>
  </si>
  <si>
    <t>種草</t>
    <phoneticPr fontId="3" type="noConversion"/>
  </si>
  <si>
    <t>鏡頭運動：固定上半身特寫(static medium close-up)。
角色動作：媽媽手扶平底鍋鍋柄、右手拿鍋鏟翻炒青菜的動作中，突然停住（鍋鏟懸在半空）；抬頭望向前方；表情由疲憊變笑容。
場景／背景氛圍：背景音只有炒菜的「滋滋」聲與蒸氣聲，但因她動作停下而瞬間靜默；色調維持廚房暖黃光；氛圍是「母子之間心電感應」的微妙瞬間。</t>
    <phoneticPr fontId="3" type="noConversion"/>
  </si>
  <si>
    <t>為了讓首尾幀不一樣，之後有針對這張圖調整角色動作。</t>
    <phoneticPr fontId="3" type="noConversion"/>
  </si>
  <si>
    <t>為了讓首尾幀不一樣，之後有針對這張圖刪掉菜上面的油煙。</t>
    <phoneticPr fontId="3" type="noConversion"/>
  </si>
  <si>
    <t>剪輯筆記</t>
    <phoneticPr fontId="3" type="noConversion"/>
  </si>
  <si>
    <t>實際影片3s，再剪輯片段並加快影片時間至1s</t>
    <phoneticPr fontId="3" type="noConversion"/>
  </si>
  <si>
    <t>廚房裡，她一邊熱飯。
她心裡OS：
「他還在唸，我卻放不下。他有沒有讓眼睛好好休息一下？」</t>
    <phoneticPr fontId="3" type="noConversion"/>
  </si>
  <si>
    <t>實際影片3s，考慮完整影片時長，只擷取其中2s來用。</t>
    <phoneticPr fontId="3" type="noConversion"/>
  </si>
  <si>
    <t>無需特別剪輯，直接完整使用。</t>
    <phoneticPr fontId="3" type="noConversion"/>
  </si>
  <si>
    <t>[配音]透過Eleven Labs生產女主配音。</t>
    <phoneticPr fontId="3" type="noConversion"/>
  </si>
  <si>
    <t>追加聲音素材說明</t>
    <phoneticPr fontId="3" type="noConversion"/>
  </si>
  <si>
    <t>追加聲音素材名稱</t>
    <phoneticPr fontId="3" type="noConversion"/>
  </si>
  <si>
    <t>場景1-1-女主語音</t>
    <phoneticPr fontId="3" type="noConversion"/>
  </si>
  <si>
    <t>秒針移動聲</t>
    <phoneticPr fontId="3" type="noConversion"/>
  </si>
  <si>
    <t>[配音]為統一女主聲音，透過Eleven Labs生產女主配音。</t>
    <phoneticPr fontId="3" type="noConversion"/>
  </si>
  <si>
    <t>場景1-5-1-女主語音</t>
    <phoneticPr fontId="3" type="noConversion"/>
  </si>
  <si>
    <t>[配音]為統一旁白聲音，透過Eleven Labs生產旁白配音。</t>
    <phoneticPr fontId="3" type="noConversion"/>
  </si>
  <si>
    <t>所有畫面均在 「場景3-1」 中，畫面一開始只看到抬燈，鏡頭慢慢拉遠直到看見整個房間，整個畫面是暖色調，只有抬燈發出的光是色溫6500k的光。
旁白先以清楚、溫和、自信、節奏稍快的女聲依序說出：「50分鐘休息提醒，諾貝爾眼科院長推薦。」接著，旁白再語氣放慢、回到溫柔的母親聲線說出：「你顧不到的，讓燈幫你記著。」</t>
    <phoneticPr fontId="3" type="noConversion"/>
  </si>
  <si>
    <t>場景3-1-旁白語音</t>
    <phoneticPr fontId="3" type="noConversion"/>
  </si>
  <si>
    <t>[音效]秒針移動聲，音效來源：
https://pixabay.com/sound-effects/film-special-effects-watch-69596/</t>
    <phoneticPr fontId="3" type="noConversion"/>
  </si>
  <si>
    <t>[配音]為統一旁白聲音，透過Eleven Labs生產旁白配音。
[配樂]為堆疊最後情緒，加入溫暖鋼琴，有找到兩版較合適的配樂，版本一來源：https://pixabay.com/music/modern-classical-sentimental-piano-512258/
版本二來源：
https://pixabay.com/music/modern-classical-calmness-piano-355587/</t>
    <phoneticPr fontId="3" type="noConversion"/>
  </si>
  <si>
    <t>場景2-4-旁白語音、
溫暖鋼琴配樂版本一、
溫暖鋼琴配樂版本二。</t>
    <phoneticPr fontId="3" type="noConversion"/>
  </si>
  <si>
    <t>畫面：燈的輪廓在暗處發光。
旁白：
「50分鐘休息提醒，諾貝爾眼科院長推薦。你顧不到的，讓燈幫你記著。」
品牌 Logo 淡入，字卡：「喜光全光譜」</t>
    <phoneticPr fontId="3" type="noConversion"/>
  </si>
  <si>
    <t>影片本身直接完整使用。
需在最後浮現半透明黑色遮罩、品牌Logo、產品品名。</t>
    <phoneticPr fontId="3" type="noConversion"/>
  </si>
  <si>
    <t>實際影片3s，完整採用影片，但加速至2s。</t>
    <phoneticPr fontId="3" type="noConversion"/>
  </si>
  <si>
    <t>實際影片3s，再擷取核心片段並加速至0.5s。</t>
    <phoneticPr fontId="3" type="noConversion"/>
  </si>
  <si>
    <t>實際影片3s，再從中剪出片段並加速至2s。</t>
    <phoneticPr fontId="3" type="noConversion"/>
  </si>
  <si>
    <t>參考圖：場景2-3-1。</t>
    <phoneticPr fontId="3" type="noConversion"/>
  </si>
  <si>
    <t>參考圖：場景2-3-1、場景2-3-2。
最後男主繪圖畫面沒順利產生，需再在後續補上。</t>
    <phoneticPr fontId="3" type="noConversion"/>
  </si>
  <si>
    <t>鏡頭保持不動，街道上的車子移動著，
背景音有輕微的汽車的喇叭聲、人群的吵雜聲、微風吹過的聲音。</t>
    <phoneticPr fontId="3" type="noConversion"/>
  </si>
  <si>
    <t xml:space="preserve">參考圖：場景3-1-4。
</t>
    <phoneticPr fontId="3" type="noConversion"/>
  </si>
  <si>
    <t>實際影片4s，再加速至3s。
需在最後浮現半透明黑色遮罩、品牌Logo、產品品名。</t>
    <phoneticPr fontId="3" type="noConversion"/>
  </si>
  <si>
    <t>滑鼠點擊聲</t>
    <phoneticPr fontId="3" type="noConversion"/>
  </si>
  <si>
    <t>一開始男主平靜深呼吸，鏡頭從男主背後拍男主，光線還是正常的室內白色微冷自然光和護眼燈的4000k光線，旁白以低沉、溫柔、稍慢的男聲說：「接下來創業的兩小時不是加班。」
停約 0.3 秒後，鏡頭從男主背後繞著男主側身搖鏡到看見男主的正面，男主仍平靜深呼吸，但臉上多了笑容，光線整體變成溫和暖光，旁白以節奏輕快、有活力、有自信的男聲說旁白以低沉、溫柔、稍慢的男聲說：「是你在為自己工作。」</t>
    <phoneticPr fontId="3" type="noConversion"/>
  </si>
  <si>
    <t>鏡頭從他背後拍他，他沒有急著動筆。
旁白：
「接下來創業的兩小時不是加班。」
「是你在為自己工作。」</t>
    <phoneticPr fontId="3" type="noConversion"/>
  </si>
  <si>
    <t>有使用首尾幀技術，
首幀：場景1-4-1
尾幀：場景1-4-2
後來有發現原來的台詞會容易讓觀眾看不懂，所以又用新台詞產生一個版本二，但因影像方面原版本較理想，故保留版本一。</t>
    <phoneticPr fontId="3" type="noConversion"/>
  </si>
  <si>
    <t>影像採用版本一，聲音採用版本二。</t>
    <phoneticPr fontId="3" type="noConversion"/>
  </si>
  <si>
    <t>[音效]AI產生影片的滑鼠點擊聲效果不好，再找滑鼠點擊聲來用，音效來源：https://pixabay.com/sound-effects/technology-mouse-clicks-6849/</t>
    <phoneticPr fontId="3" type="noConversion"/>
  </si>
  <si>
    <t>男性嘆息聲</t>
    <phoneticPr fontId="3" type="noConversion"/>
  </si>
  <si>
    <t>[音效]AI產生影片的嘆息聲會破壞整個影片的節奏，再找嘆息聲來用，音效來源：https://pixabay.com/sound-effects/people-male-sigh-6763/</t>
    <phoneticPr fontId="3" type="noConversion"/>
  </si>
  <si>
    <t>實際影片3s，再擷取其中1.5s來用。</t>
    <phoneticPr fontId="3" type="noConversion"/>
  </si>
  <si>
    <t>30秒腳本：「下班後的兩小時」
【0–6秒｜Hook】
畫面：桌面特寫——工作視窗一個個關掉，最後一個視窗關閉，螢幕變成桌布。
他的手停在鍵盤上一秒。
字卡出現：「下午六點。」
旁白（平靜，不是解脫，是一種切換）：
「工作結束了。」
他伸手，輕觸燈。
畫面：燈的色溫從冷白光緩緩轉成柔和自然光。整個房間的氣氛跟著變了。
【6–14秒｜情境建立】
畫面：他把工作文件推到一邊。
從抽屜裡拿出一本設計草稿本，翻開。
桌上散落著手繪的 app 介面線稿、幾支色筆。
他沒有急著動筆，先靠回椅背，看了一眼那道光。
旁白：
「這兩小時不是加班。」
「是你在為自己工作。」
【14–22秒｜產品時刻】
畫面：他開始畫草稿，專注但不緊繃。
鏡頭慢慢帶到燈——靜靜亮著，光色穩定，不刺眼。
時間流逝的感覺：桌上的草稿越來越多，咖啡杯換成了水杯。
他抬起頭，伸了個懶腰，看了看窗外的夜景，再低頭繼續。
旁白：
「它不催你。不評判你。」
「只是在那裡，陪你把那件事做出來。」
【22–26秒｜文案字卡】
畫面：他和燈，在深夜的安靜裡。
字卡逐字出現：
「朝九晚六之後，這道光還在。」
「陪你做那件一直想做的事。」
【26–30秒｜產品介紹 + CTA】
畫面：燈的全貌，輕觸切換色溫的手部特寫。
旁白：
「喜光全光譜護眼燈。五種情境色溫，Ra97全光譜，八小時專注後，眼睛還是不澀。」
字卡：「喜光全光譜｜為你自己的那兩小時」
品牌 Logo 淡入。</t>
    <phoneticPr fontId="3" type="noConversion"/>
  </si>
  <si>
    <t>鏡頭正拍他和燈，zoom out到大部份家裡都開著燈的公寓外，再zoom out到城市上空。</t>
    <phoneticPr fontId="3" type="noConversion"/>
  </si>
  <si>
    <t>大部份內容沒問題，只是描述方式過於直白，有些細節也顯得多餘，需再針對這些部份調整。
關於app設計草稿內容有點過於不真實，需再調。</t>
    <phoneticPr fontId="3" type="noConversion"/>
  </si>
  <si>
    <t>[配樂]加入振奮音樂，強化努力追夢的的感覺，配樂來源：https://pixabay.com/music/upbeat-black-hole-dreams-423388/</t>
    <phoneticPr fontId="3" type="noConversion"/>
  </si>
  <si>
    <t>追夢音樂-Black Hole</t>
    <phoneticPr fontId="3" type="noConversion"/>
  </si>
  <si>
    <t>[配樂]加入溫馨音樂，並持續到場景3-1-3，加深被陪伴的感覺，配樂來源：https://pixabay.com/music/modern-classical-good-night-melody-piano-245836/</t>
    <phoneticPr fontId="3" type="noConversion"/>
  </si>
  <si>
    <t>溫馨鋼琴音樂</t>
    <phoneticPr fontId="3" type="noConversion"/>
  </si>
  <si>
    <t>實際影片3s，再從中擷取2s片段出來。
產生影片後發現zoom in效果較好，先反轉影片改成zoom in再擷取。
配樂的部份，從場景影片1-3延續到場景2-3-1開頭男主設計累了休息一下的動作為止。影片場景1-3到場景1-4使用配樂中的16-22秒，影片場景2-1到場景2-3-1使用配樂中的46-51秒。</t>
    <phoneticPr fontId="3" type="noConversion"/>
  </si>
  <si>
    <t>旁白最後一句話中的「在那裡」聲調有誤，再用另一個因時間太短話沒話完但聲調正確的備份影片來合併。
配樂的部份，從影片場景2-3-2延續到場景4-1結束，配樂整段都很適合，直接依所需長度從配樂第1秒開始剪即可。</t>
    <phoneticPr fontId="3" type="noConversion"/>
  </si>
  <si>
    <t>男主一直在草稿圖的繪畫，鏡頭一直不動，光線始終是白色暖光，
背景音只有主動筆時筆畫在紙上的沙沙聲，
旁白1秒-2秒低沉、溫柔、秒快地說「它不催你。不評判你。」，3秒-4秒低沉、溫柔、稍慢地說「只是在那裡，陪你把那件事做出來。」</t>
    <phoneticPr fontId="3" type="noConversion"/>
  </si>
  <si>
    <t>6–12 歲學齡兒童父母 · 正在為孩子佈置／升級書桌的家庭</t>
    <phoneticPr fontId="3" type="noConversion"/>
  </si>
  <si>
    <t>25–40 歲 WFH / 雙螢幕工程師 / 設計師 / 剪輯師</t>
    <phoneticPr fontId="3" type="noConversion"/>
  </si>
  <si>
    <r>
      <rPr>
        <sz val="11"/>
        <color theme="1"/>
        <rFont val="微軟正黑體"/>
        <family val="2"/>
        <charset val="136"/>
      </rPr>
      <t>根據</t>
    </r>
    <r>
      <rPr>
        <sz val="11"/>
        <color theme="1"/>
        <rFont val="Arial"/>
        <family val="2"/>
      </rPr>
      <t>6</t>
    </r>
    <r>
      <rPr>
        <sz val="11"/>
        <color theme="1"/>
        <rFont val="微軟正黑體"/>
        <family val="2"/>
        <charset val="136"/>
      </rPr>
      <t>個切角最大公約數、</t>
    </r>
    <r>
      <rPr>
        <sz val="11"/>
        <color theme="1"/>
        <rFont val="Arial"/>
        <family val="2"/>
      </rPr>
      <t xml:space="preserve">Top 10 </t>
    </r>
    <r>
      <rPr>
        <sz val="11"/>
        <color theme="1"/>
        <rFont val="微軟正黑體"/>
        <family val="2"/>
        <charset val="136"/>
      </rPr>
      <t>痛點，考量智商稅</t>
    </r>
    <r>
      <rPr>
        <sz val="11"/>
        <color theme="1"/>
        <rFont val="Arial"/>
        <family val="2"/>
      </rPr>
      <t>(</t>
    </r>
    <r>
      <rPr>
        <sz val="11"/>
        <color theme="1"/>
        <rFont val="微軟正黑體"/>
        <family val="2"/>
        <charset val="136"/>
      </rPr>
      <t>用專家背書增加公信力</t>
    </r>
    <r>
      <rPr>
        <sz val="11"/>
        <color theme="1"/>
        <rFont val="Arial"/>
        <family val="2"/>
      </rPr>
      <t>)</t>
    </r>
    <r>
      <rPr>
        <sz val="11"/>
        <color theme="1"/>
        <rFont val="微軟正黑體"/>
        <family val="2"/>
        <charset val="136"/>
      </rPr>
      <t>、刺眼、</t>
    </r>
    <r>
      <rPr>
        <sz val="11"/>
        <color theme="1"/>
        <rFont val="Arial"/>
        <family val="2"/>
      </rPr>
      <t xml:space="preserve">RG0 </t>
    </r>
    <r>
      <rPr>
        <sz val="11"/>
        <color theme="1"/>
        <rFont val="微軟正黑體"/>
        <family val="2"/>
        <charset val="136"/>
      </rPr>
      <t>無藍光、</t>
    </r>
    <r>
      <rPr>
        <sz val="11"/>
        <color theme="1"/>
        <rFont val="Arial"/>
        <family val="2"/>
      </rPr>
      <t xml:space="preserve">Ra &gt; 95 </t>
    </r>
    <r>
      <rPr>
        <sz val="11"/>
        <color theme="1"/>
        <rFont val="微軟正黑體"/>
        <family val="2"/>
        <charset val="136"/>
      </rPr>
      <t>等需求，選擇下列商品：
商品品牌：喜光全光譜
商品型號：</t>
    </r>
    <r>
      <rPr>
        <sz val="11"/>
        <color theme="1"/>
        <rFont val="Arial"/>
        <family val="2"/>
      </rPr>
      <t xml:space="preserve">SY-FS10-18WH/BL
</t>
    </r>
    <r>
      <rPr>
        <sz val="11"/>
        <color theme="1"/>
        <rFont val="微軟正黑體"/>
        <family val="2"/>
        <charset val="136"/>
      </rPr>
      <t xml:space="preserve">參考網址：
</t>
    </r>
    <r>
      <rPr>
        <sz val="11"/>
        <color theme="1"/>
        <rFont val="Arial"/>
        <family val="2"/>
      </rPr>
      <t>https://www.momoshop.com.tw/goods/GoodsDetail.jsp?i_code=13104643</t>
    </r>
    <phoneticPr fontId="3" type="noConversion"/>
  </si>
  <si>
    <r>
      <rPr>
        <sz val="11"/>
        <color theme="1"/>
        <rFont val="微軟正黑體"/>
        <family val="2"/>
        <charset val="136"/>
      </rPr>
      <t>廣告概念一：「</t>
    </r>
    <r>
      <rPr>
        <sz val="11"/>
        <color theme="1"/>
        <rFont val="Arial"/>
        <family val="2"/>
      </rPr>
      <t>50</t>
    </r>
    <r>
      <rPr>
        <sz val="11"/>
        <color theme="1"/>
        <rFont val="微軟正黑體"/>
        <family val="2"/>
        <charset val="136"/>
      </rPr>
      <t>分鐘」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主打燈的休息提醒功能，但用情感角度切入。
畫面敘事
深夜，孩子趴在燈下寫作業，媽媽在廚房忙。燈自動閃爍提醒休息</t>
    </r>
    <r>
      <rPr>
        <sz val="11"/>
        <color theme="1"/>
        <rFont val="DejaVu Sans"/>
        <family val="2"/>
        <charset val="136"/>
      </rPr>
      <t>——</t>
    </r>
    <r>
      <rPr>
        <sz val="11"/>
        <color theme="1"/>
        <rFont val="微軟正黑體"/>
        <family val="2"/>
        <charset val="136"/>
      </rPr>
      <t>孩子抬起頭，揉眼睛，轉頭看向媽媽。兩個人對到眼，媽媽放下手邊的事走過來。
文案
「</t>
    </r>
    <r>
      <rPr>
        <sz val="11"/>
        <color theme="1"/>
        <rFont val="Arial"/>
        <family val="2"/>
      </rPr>
      <t>50</t>
    </r>
    <r>
      <rPr>
        <sz val="11"/>
        <color theme="1"/>
        <rFont val="微軟正黑體"/>
        <family val="2"/>
        <charset val="136"/>
      </rPr>
      <t>分鐘到了。他記不得休息，但燈記得。」
為什麼有病毒力
「但燈記得」這句話容易在家長社群引發轉發，因為它說出了很多父母的心聲</t>
    </r>
    <r>
      <rPr>
        <sz val="11"/>
        <color theme="1"/>
        <rFont val="DejaVu Sans"/>
        <family val="2"/>
        <charset val="136"/>
      </rPr>
      <t>——</t>
    </r>
    <r>
      <rPr>
        <sz val="11"/>
        <color theme="1"/>
        <rFont val="微軟正黑體"/>
        <family val="2"/>
        <charset val="136"/>
      </rPr>
      <t>我顧不到的，希望有什麼能幫我顧著他。
廣告概念二：「那道光」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用光的溫度象徵陪伴，打長期記憶牌。
畫面敘事
同一張書桌，時間快轉：注音符號的作業本</t>
    </r>
    <r>
      <rPr>
        <sz val="11"/>
        <color theme="1"/>
        <rFont val="Arial"/>
        <family val="2"/>
      </rPr>
      <t xml:space="preserve"> </t>
    </r>
    <r>
      <rPr>
        <sz val="11"/>
        <color theme="1"/>
        <rFont val="DejaVu Sans"/>
        <family val="2"/>
        <charset val="136"/>
      </rPr>
      <t>→</t>
    </r>
    <r>
      <rPr>
        <sz val="11"/>
        <color theme="1"/>
        <rFont val="Arial"/>
        <family val="2"/>
      </rPr>
      <t xml:space="preserve"> </t>
    </r>
    <r>
      <rPr>
        <sz val="11"/>
        <color theme="1"/>
        <rFont val="微軟正黑體"/>
        <family val="2"/>
        <charset val="136"/>
      </rPr>
      <t>數學考卷</t>
    </r>
    <r>
      <rPr>
        <sz val="11"/>
        <color theme="1"/>
        <rFont val="Arial"/>
        <family val="2"/>
      </rPr>
      <t xml:space="preserve"> </t>
    </r>
    <r>
      <rPr>
        <sz val="11"/>
        <color theme="1"/>
        <rFont val="DejaVu Sans"/>
        <family val="2"/>
        <charset val="136"/>
      </rPr>
      <t>→</t>
    </r>
    <r>
      <rPr>
        <sz val="11"/>
        <color theme="1"/>
        <rFont val="Arial"/>
        <family val="2"/>
      </rPr>
      <t xml:space="preserve"> </t>
    </r>
    <r>
      <rPr>
        <sz val="11"/>
        <color theme="1"/>
        <rFont val="微軟正黑體"/>
        <family val="2"/>
        <charset val="136"/>
      </rPr>
      <t>參考書</t>
    </r>
    <r>
      <rPr>
        <sz val="11"/>
        <color theme="1"/>
        <rFont val="Arial"/>
        <family val="2"/>
      </rPr>
      <t xml:space="preserve"> </t>
    </r>
    <r>
      <rPr>
        <sz val="11"/>
        <color theme="1"/>
        <rFont val="DejaVu Sans"/>
        <family val="2"/>
        <charset val="136"/>
      </rPr>
      <t>→</t>
    </r>
    <r>
      <rPr>
        <sz val="11"/>
        <color theme="1"/>
        <rFont val="Arial"/>
        <family val="2"/>
      </rPr>
      <t xml:space="preserve"> </t>
    </r>
    <r>
      <rPr>
        <sz val="11"/>
        <color theme="1"/>
        <rFont val="微軟正黑體"/>
        <family val="2"/>
        <charset val="136"/>
      </rPr>
      <t>大學指考准考證。燈一直在，光色從暖黃慢慢變成專注白光。最後孩子關燈離開，畫面停在那張空桌。
文案
「從注音到放榜，那道光一直在。」
為什麼有情感渲染力
時間流逝的視覺最能觸發父母的情緒，「空桌」的結尾留白讓人鼻酸。
廣告概念三：「眼科醫生不想讓你知道的選燈方式」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反向操作標題黨，但內容是真實資訊。主打「</t>
    </r>
    <r>
      <rPr>
        <sz val="11"/>
        <color theme="1"/>
        <rFont val="Arial"/>
        <family val="2"/>
      </rPr>
      <t>3</t>
    </r>
    <r>
      <rPr>
        <sz val="11"/>
        <color theme="1"/>
        <rFont val="微軟正黑體"/>
        <family val="2"/>
        <charset val="136"/>
      </rPr>
      <t>成護眼燈不合格」＋諾貝爾眼科院長推薦。
畫面敘事
開場：「你花了多少錢買護眼燈？」畫面出現各種價位的燈。接著：「但有</t>
    </r>
    <r>
      <rPr>
        <sz val="11"/>
        <color theme="1"/>
        <rFont val="Arial"/>
        <family val="2"/>
      </rPr>
      <t>3</t>
    </r>
    <r>
      <rPr>
        <sz val="11"/>
        <color theme="1"/>
        <rFont val="微軟正黑體"/>
        <family val="2"/>
        <charset val="136"/>
      </rPr>
      <t>成護眼燈，根本不護眼。」切到演色性、頻閃數據對比。最後諾貝爾眼科院長出鏡或字卡背書。
文案
「選錯燈，比沒有燈更傷眼。」
為什麼有病毒力
資訊型內容在</t>
    </r>
    <r>
      <rPr>
        <sz val="11"/>
        <color theme="1"/>
        <rFont val="Arial"/>
        <family val="2"/>
      </rPr>
      <t xml:space="preserve"> YouTube </t>
    </r>
    <r>
      <rPr>
        <sz val="11"/>
        <color theme="1"/>
        <rFont val="微軟正黑體"/>
        <family val="2"/>
        <charset val="136"/>
      </rPr>
      <t>和</t>
    </r>
    <r>
      <rPr>
        <sz val="11"/>
        <color theme="1"/>
        <rFont val="Arial"/>
        <family val="2"/>
      </rPr>
      <t xml:space="preserve"> TikTok </t>
    </r>
    <r>
      <rPr>
        <sz val="11"/>
        <color theme="1"/>
        <rFont val="微軟正黑體"/>
        <family val="2"/>
        <charset val="136"/>
      </rPr>
      <t>有天然的分享誘因，家長看完會想傳給其他家長。標題帶有懸念，完播率高。
廣告概念四：「孩子不說，但眼睛會說」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從孩子的視角切入，讓父母感到愧疚再給出解方。
畫面敘事
孩子的主觀視角：看書時畫面逐漸模糊、泛黃、刺眼。孩子揉眼睛但繼續寫。旁白：「他沒有說眼睛不舒服，因為他覺得本來就這樣。」接著燈打開，畫面變得清晰柔和。
文案
「他以為眼睛酸是正常的。你不知道，是因為他沒說。」
為什麼有情感渲染力
「他沒說」這個洞察直接命中家長的罪惡感，轉化率強。適合蝦皮</t>
    </r>
    <r>
      <rPr>
        <sz val="11"/>
        <color theme="1"/>
        <rFont val="Arial"/>
        <family val="2"/>
      </rPr>
      <t>/momo</t>
    </r>
    <r>
      <rPr>
        <sz val="11"/>
        <color theme="1"/>
        <rFont val="微軟正黑體"/>
        <family val="2"/>
        <charset val="136"/>
      </rPr>
      <t>商品頁的開頭影片。
廣告概念五：「</t>
    </r>
    <r>
      <rPr>
        <sz val="11"/>
        <color theme="1"/>
        <rFont val="Arial"/>
        <family val="2"/>
      </rPr>
      <t xml:space="preserve">Ra97 </t>
    </r>
    <r>
      <rPr>
        <sz val="11"/>
        <color theme="1"/>
        <rFont val="微軟正黑體"/>
        <family val="2"/>
        <charset val="136"/>
      </rPr>
      <t>是什麼意思」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情感渲染力</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教育型內容，把規格轉化成感受，適合</t>
    </r>
    <r>
      <rPr>
        <sz val="11"/>
        <color theme="1"/>
        <rFont val="Arial"/>
        <family val="2"/>
      </rPr>
      <t xml:space="preserve"> YouTube </t>
    </r>
    <r>
      <rPr>
        <sz val="11"/>
        <color theme="1"/>
        <rFont val="微軟正黑體"/>
        <family val="2"/>
        <charset val="136"/>
      </rPr>
      <t>前貼片。
畫面敘事
對比畫面：同一本書，在普通燈下顏色偏黃偏灰，在</t>
    </r>
    <r>
      <rPr>
        <sz val="11"/>
        <color theme="1"/>
        <rFont val="Arial"/>
        <family val="2"/>
      </rPr>
      <t xml:space="preserve"> Ra97 </t>
    </r>
    <r>
      <rPr>
        <sz val="11"/>
        <color theme="1"/>
        <rFont val="微軟正黑體"/>
        <family val="2"/>
        <charset val="136"/>
      </rPr>
      <t>燈下顏色鮮明真實。旁白解釋：「演色性越高，眼睛越不需要用力辨識顏色，就越不累。」
文案
「你的眼睛每天都在用力看，只是你不知道。」</t>
    </r>
    <phoneticPr fontId="3" type="noConversion"/>
  </si>
  <si>
    <r>
      <rPr>
        <sz val="11"/>
        <color theme="1"/>
        <rFont val="微軟正黑體"/>
        <family val="2"/>
        <charset val="136"/>
      </rPr>
      <t>廣告概念一：「努力不用燃燒自己」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直接挑戰「拼命就要犧牲身體」的舊觀念，給出新的奮鬥姿態。
畫面敘事
兩個平行畫面對比：左邊是過去的自己</t>
    </r>
    <r>
      <rPr>
        <sz val="11"/>
        <color theme="1"/>
        <rFont val="DejaVu Sans"/>
        <family val="2"/>
        <charset val="136"/>
      </rPr>
      <t>——</t>
    </r>
    <r>
      <rPr>
        <sz val="11"/>
        <color theme="1"/>
        <rFont val="微軟正黑體"/>
        <family val="2"/>
        <charset val="136"/>
      </rPr>
      <t>瞇眼、駝背、揉眼睛、喝第三杯咖啡。右邊是現在的自己</t>
    </r>
    <r>
      <rPr>
        <sz val="11"/>
        <color theme="1"/>
        <rFont val="DejaVu Sans"/>
        <family val="2"/>
        <charset val="136"/>
      </rPr>
      <t>——</t>
    </r>
    <r>
      <rPr>
        <sz val="11"/>
        <color theme="1"/>
        <rFont val="微軟正黑體"/>
        <family val="2"/>
        <charset val="136"/>
      </rPr>
      <t>坐姿挺、眼神清楚、工作到深夜但狀態還在線。兩個畫面的書桌唯一的差別，就是燈。最後兩個畫面合而為一。
文案
「你可以努力，但不用用壞自己。」
為什麼有病毒力
這句話直接回應了當代「反爛命文化」的情緒出口，在</t>
    </r>
    <r>
      <rPr>
        <sz val="11"/>
        <color theme="1"/>
        <rFont val="Arial"/>
        <family val="2"/>
      </rPr>
      <t xml:space="preserve"> 25</t>
    </r>
    <r>
      <rPr>
        <sz val="11"/>
        <color theme="1"/>
        <rFont val="DejaVu Sans"/>
        <family val="2"/>
        <charset val="136"/>
      </rPr>
      <t>–</t>
    </r>
    <r>
      <rPr>
        <sz val="11"/>
        <color theme="1"/>
        <rFont val="Arial"/>
        <family val="2"/>
      </rPr>
      <t xml:space="preserve">40 </t>
    </r>
    <r>
      <rPr>
        <sz val="11"/>
        <color theme="1"/>
        <rFont val="微軟正黑體"/>
        <family val="2"/>
        <charset val="136"/>
      </rPr>
      <t>歲族群中有強烈共鳴。不說教，說的是一種選擇。
廣告概念二：「下班後的兩小時，是你自己的」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把燈定位成「下班後繼續做自己的事」的陪伴者，而不是加班的工具。
畫面敘事
傍晚六點，工作視窗關掉。他切換燈的色溫從專注白光到舒適自然光。桌上的東西從工作文件換成副業的設計稿、吉他譜、或程式練習。旁白：「這兩小時不是加班。是你在為自己工作。」燈的光色隨著他的狀態，靜靜陪著。
文案
「朝九晚六之後，這道光還在。陪你做那件一直想做的事。」
為什麼有陪伴感
把燈從「工作工具」升維成「陪你追夢的存在」，情感層次更深。</t>
    </r>
    <r>
      <rPr>
        <sz val="11"/>
        <color theme="1"/>
        <rFont val="Arial"/>
        <family val="2"/>
      </rPr>
      <t xml:space="preserve">WFH </t>
    </r>
    <r>
      <rPr>
        <sz val="11"/>
        <color theme="1"/>
        <rFont val="微軟正黑體"/>
        <family val="2"/>
        <charset val="136"/>
      </rPr>
      <t>族和有副業的人會強烈對號入座。
廣告概念三：「</t>
    </r>
    <r>
      <rPr>
        <sz val="11"/>
        <color theme="1"/>
        <rFont val="Arial"/>
        <family val="2"/>
      </rPr>
      <t>50</t>
    </r>
    <r>
      <rPr>
        <sz val="11"/>
        <color theme="1"/>
        <rFont val="微軟正黑體"/>
        <family val="2"/>
        <charset val="136"/>
      </rPr>
      <t>分鐘，然後休息一下」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把休息提醒功能詮釋成「健康奮鬥的節奏感」，不是中斷，是永續。
畫面敘事
他在工作，專注、有節奏。燈輕輕閃爍。他沒有煩躁，自然地放下滑鼠，站起來，去倒一杯水，看了一眼窗外。</t>
    </r>
    <r>
      <rPr>
        <sz val="11"/>
        <color theme="1"/>
        <rFont val="Arial"/>
        <family val="2"/>
      </rPr>
      <t>30</t>
    </r>
    <r>
      <rPr>
        <sz val="11"/>
        <color theme="1"/>
        <rFont val="微軟正黑體"/>
        <family val="2"/>
        <charset val="136"/>
      </rPr>
      <t>秒後回來，重新坐下，繼續。旁白：「不是因為累了才休息。是因為還要繼續，才先休息。」
文案
「好的節奏，比拼命更長久。」
為什麼符合健康奮鬥主旋律
這個概念把「休息」重新定義為奮鬥策略的一部分，而不是軟弱的表現。對追求永續生產力的現代工作者來說，這個價值觀非常當代。
廣告概念四：「眼睛好，才能看見更遠的地方」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把護眼從「避免傷害」升維到「投資未來」，給奮鬥賦予長遠視野。
畫面敘事
一個設計師現在對著螢幕工作，燈光柔和。旁白：「你在為十年後的自己存錢、存技能。」鏡頭慢慢拉遠。旁白繼續：「那你有沒有為十年後的眼睛，做一件事？」最後切到他輕觸燈的瞬間。
文案
「投資自己，從不讓眼睛先退休開始。」
為什麼有說服力
這個切角把護眼燈從消費品變成自我投資，和目標受眾「我在為未來佈局」的心態完全吻合。
廣告概念五：「今天結束了，但你還好」
病毒潛力</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陪伴感</t>
    </r>
    <r>
      <rPr>
        <sz val="11"/>
        <color theme="1"/>
        <rFont val="Arial"/>
        <family val="2"/>
      </rPr>
      <t xml:space="preserve"> </t>
    </r>
    <r>
      <rPr>
        <sz val="11"/>
        <color theme="1"/>
        <rFont val="DejaVu Sans"/>
        <family val="2"/>
        <charset val="136"/>
      </rPr>
      <t>★★★★★</t>
    </r>
    <r>
      <rPr>
        <sz val="11"/>
        <color theme="1"/>
        <rFont val="Arial"/>
        <family val="2"/>
      </rPr>
      <t xml:space="preserve"> / </t>
    </r>
    <r>
      <rPr>
        <sz val="11"/>
        <color theme="1"/>
        <rFont val="微軟正黑體"/>
        <family val="2"/>
        <charset val="136"/>
      </rPr>
      <t>健康奮鬥感</t>
    </r>
    <r>
      <rPr>
        <sz val="11"/>
        <color theme="1"/>
        <rFont val="Arial"/>
        <family val="2"/>
      </rPr>
      <t xml:space="preserve"> </t>
    </r>
    <r>
      <rPr>
        <sz val="11"/>
        <color theme="1"/>
        <rFont val="DejaVu Sans"/>
        <family val="2"/>
        <charset val="136"/>
      </rPr>
      <t>★★★★☆</t>
    </r>
    <r>
      <rPr>
        <sz val="11"/>
        <color theme="1"/>
        <rFont val="Segoe UI Symbol"/>
        <family val="2"/>
      </rPr>
      <t xml:space="preserve">
</t>
    </r>
    <r>
      <rPr>
        <sz val="11"/>
        <color theme="1"/>
        <rFont val="微軟正黑體"/>
        <family val="2"/>
        <charset val="136"/>
      </rPr>
      <t>核心概念
一天結束的收尾感，把燈定位成「今天也撐過來了」的見證者。
畫面敘事
深夜，他存檔、關掉螢幕。書桌陷入黑暗，只剩燈還亮著。他伸手，切換到最暗的暖黃光。靠回椅背，看著這道光發了幾秒呆。然後站起來去洗澡。燈還亮著，像在等他回來。最後他從浴室走出來，關燈。畫面黑掉。字卡：「今天也辛苦了。」
文案
「每個撐過去的今天，都值得一個好的結尾。」
為什麼有病毒力
「今天也辛苦了」這句話在日系、韓系內容影響下的台灣社群有極高的情感共鳴，容易在限動、貼文被引用。結尾的留白給人空間投射自己的情緒。</t>
    </r>
    <phoneticPr fontId="3" type="noConversion"/>
  </si>
  <si>
    <t>切角</t>
    <phoneticPr fontId="3" type="noConversion"/>
  </si>
  <si>
    <t>slogan</t>
    <phoneticPr fontId="3" type="noConversion"/>
  </si>
  <si>
    <t>概述</t>
    <phoneticPr fontId="3" type="noConversion"/>
  </si>
  <si>
    <t>目標受眾</t>
    <phoneticPr fontId="3" type="noConversion"/>
  </si>
  <si>
    <t>核心功能</t>
    <phoneticPr fontId="3" type="noConversion"/>
  </si>
  <si>
    <t>對應痛點</t>
    <phoneticPr fontId="3" type="noConversion"/>
  </si>
  <si>
    <t>情境氛圍</t>
    <phoneticPr fontId="3" type="noConversion"/>
  </si>
  <si>
    <t>情緒目標</t>
    <phoneticPr fontId="3" type="noConversion"/>
  </si>
  <si>
    <t>視覺方向</t>
    <phoneticPr fontId="3" type="noConversion"/>
  </si>
  <si>
    <t>身體感受關鍵字</t>
    <phoneticPr fontId="3" type="noConversion"/>
  </si>
  <si>
    <t>AI Claude提供主題</t>
    <phoneticPr fontId="3" type="noConversion"/>
  </si>
  <si>
    <t>鏡頭從桌角位置仰拍主角，他伸手，輕觸燈，燈的色溫從冷白光緩緩轉成柔和自然光。整個房間的氣氛跟著變了。
接著，他把工作文件放到一個抽屜中。再從另一個抽屜裡拿出一本設計草稿本，翻開。</t>
    <phoneticPr fontId="3" type="noConversion"/>
  </si>
  <si>
    <t xml:space="preserve">鏡頭從桌角位置仰拍他，他開始畫草稿，專注但不緊繃。
</t>
    <phoneticPr fontId="3" type="noConversion"/>
  </si>
  <si>
    <t>鏡頭角度：鏡頭幾乎與桌面完全平行。
構圖：畫面中央是黑色邊框螢幕，多個工作視窗（瀏覽器、Slack、Excel、PPT、寫程式軟體）疊放成不規則層次；螢幕右下角時間「18:00」。螢幕所在位置為 「房間完整圖」  中的螢幕所在位置。
主體：黑色邊框螢幕介面、桌布、右下角的時間「18:00」。
光線：以螢幕本身的冷藍白光為主光源；室內背景為冷白日光燈，色溫約 5000K-6500K，整體偏冷。
氛圍：理性、收尾感、節奏即將從繃緊轉為放鬆的「中介點」，帶有「上班結束、私人時間即將開始」的儀式感。
註.第一次產生的圖中有不少多餘的物件，後續有微調圖片。</t>
  </si>
  <si>
    <t>畫面中只有時鐘和桌面，時鐘是一個長方型黑色時鐘，顯示18:00，日期是05/01，鐘面是黑色，字是白色，桌面是 「房間完整圖」 中的咖啡色桌面，環境色溫改成 6500K。</t>
  </si>
  <si>
    <t>鏡頭角度：高角度俯拍構圖（接近 top-down 但有約 15 度傾角），鏡頭從草稿本上方斜俯視。
構圖：畫面被攤開的白紙草稿佔滿95%，底部是咖啡色書桌，紋路如 「房間完整圖」 中的書桌；白紙草稿左側是手繪的「目標客群」（25-35 歲上班族的人物 sketch、標註「上班族＋有副業夢」）與「針對痛點」（時間零碎、想做副業、自我實現）的條列文字；右頁是「APP 首頁線稿 UI」的手繪 wireframe（包含 navbar、卡片區、底部 tab、按鈕位置標註）。
主體：手繪設計草稿頁面本身——文字、線稿、手寫符號等真實質感細節。
光線：護眼燈的色溫4000K的暖白光從畫面左上 45 度打下，照亮紙面的纖維紋理與鉛筆／墨水筆觸的層次；紙面有自然的光影漸層、不過曝。
氛圍：手作質感、私密創作、像在閱讀一本還沒出版的設計筆記；有「這是 Mark 心裡那件想做的事」的浪漫感。</t>
  </si>
  <si>
    <t>讓視角由的窗外看向窗內，窗內主要景色是 「場景3-1-1」，桌子靠窗的位置有「高品圖-背面」 背對著窗但往 「場景3-1-1」 中的角色的位置照，窗內完整空間是「房間完整圖」 ，窗子外型如 「場景2-3-2」 中的窗子，窗子所在位置是一個小型米白色磁磚外牆的多層樓公寓。</t>
  </si>
  <si>
    <t>以 「房間完整圖」 為基礎，視角改成從座椅看螢幕，且桌子右邊要擺著  「商品圖」</t>
  </si>
  <si>
    <t>該圖是一開始用來產生主角的形象圖，同時也有用來產生完整空間，用來給之後其它圖參考用的圖，之後其它處如有用到，主角形象三視圖簡稱「男主三視圖」，空間圖簡稱「房間完整圖」。</t>
    <phoneticPr fontId="3" type="noConversion"/>
  </si>
  <si>
    <t>主觀鏡頭正面面對 「媽媽形象+主要空間圖」 中的螢幕，
螢幕上，畫面顯示和他人的視訊會議畫面，畫面上分成3x2的六格，有六個人與會者的通訊影像，均是亞洲人，4位男性、2位女性，人像就好，不要其它的字幕什麼的其它東西。
背景是白色的牆。</t>
  </si>
  <si>
    <t>從 「媽媽形象+主要空間圖」 中角色的背後的角度望向角色，但桌上內容和 「媽媽形象+主要空間圖」 不同，桌上散落便利貼、文件、一杯喝了一半的咖啡。背景是一面白色的牆，角色右上方不遠處有個黑白配色的時鐘，時鐘時間是八點十分。電腦螢幕上的內容是繁榮城市夜景的桌面。</t>
  </si>
  <si>
    <t>畫面中只有「媽媽形象+主要空間圖」  中左上方的廚房，畫面是一張全景圖，畫面中是 「媽媽形象+主要空間圖」 的角色在廚房中煮飯。</t>
  </si>
  <si>
    <t>畫面中只有「媽媽形象+主要空間圖」  中右上方的走廊，角度轉成正面面對走廊，微俯拍，畫面中不要有人，只有景就好，且景要清晰。</t>
  </si>
  <si>
    <t>以 「場景1-6」 為基礎，讓 「小孩形象+小孩房間圖」 中的小孩正從右邊第二個房間中走出來，小孩身上的光記得要與 「場景1-6」 一致，小孩身上也不要髒髒的 。</t>
  </si>
  <si>
    <t>*該圖是一開始用來產生小孩的形象圖，同時因原本一開始產的圖太暗，有再特別處理，把影調、色調改成和「媽媽形象+主要空間圖」一致。之後其它地方要引用，簡稱「小孩形象+小孩房間圖」，方便追蹤。</t>
    <phoneticPr fontId="3" type="noConversion"/>
  </si>
  <si>
    <t>用「小孩房間完整圖」擷取需要的部份來用。</t>
    <phoneticPr fontId="3" type="noConversion"/>
  </si>
  <si>
    <t>*該圖是一開始用來產生媽媽的形象圖，同時也有用來產生完整空間，用來給之後生產其它圖時參考用，之後其它處如有參考到，簡稱「媽媽形象+主要空間圖」。
*並有用「媽媽形象+主要空間圖」，產生一張從走廊盡頭看向客廳的圖，簡稱「主要空間另一角度圖」。</t>
    <phoneticPr fontId="3" type="noConversion"/>
  </si>
  <si>
    <t>平台</t>
  </si>
  <si>
    <t>Kling</t>
  </si>
  <si>
    <t>Higgsfield</t>
  </si>
  <si>
    <t>家長心意</t>
    <phoneticPr fontId="3" type="noConversion"/>
  </si>
  <si>
    <r>
      <rPr>
        <sz val="11"/>
        <color theme="1"/>
        <rFont val="微軟正黑體"/>
        <family val="2"/>
        <charset val="136"/>
      </rPr>
      <t>上班族</t>
    </r>
    <r>
      <rPr>
        <sz val="11"/>
        <color theme="1"/>
        <rFont val="Arial"/>
        <family val="2"/>
      </rPr>
      <t>(WFH)</t>
    </r>
    <phoneticPr fontId="3" type="noConversion"/>
  </si>
  <si>
    <t>上班族(WFH)</t>
  </si>
  <si>
    <t>上班族(WFH)</t>
    <phoneticPr fontId="3" type="noConversion"/>
  </si>
  <si>
    <t>總點數</t>
  </si>
  <si>
    <t>產關鍵幀點數</t>
    <phoneticPr fontId="3" type="noConversion"/>
  </si>
  <si>
    <t>產影片點數(含補圖)</t>
    <phoneticPr fontId="3" type="noConversion"/>
  </si>
  <si>
    <t>點數單價(USD)</t>
    <phoneticPr fontId="3" type="noConversion"/>
  </si>
  <si>
    <t>成本(USD)</t>
    <phoneticPr fontId="3" type="noConversion"/>
  </si>
  <si>
    <t>總成本(USD)</t>
    <phoneticPr fontId="3" type="noConversion"/>
  </si>
  <si>
    <t>總花費時間(hr)</t>
    <phoneticPr fontId="3" type="noConversion"/>
  </si>
  <si>
    <t>(首輪廣告一)
家長心意</t>
    <phoneticPr fontId="3" type="noConversion"/>
  </si>
  <si>
    <t>(首輪廣告二)
上班族(WFH)</t>
    <phoneticPr fontId="3" type="noConversion"/>
  </si>
  <si>
    <t>(第二輪廣告)
生活質感派</t>
    <phoneticPr fontId="3" type="noConversion"/>
  </si>
  <si>
    <t>下列內容是從「市場調查報告」抽取出來的重要要素。</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</si>
</sst>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新細明體"/>
      <family val="2"/>
      <charset val="1"/>
    </font>
    <font>
      <sz val="11"/>
      <color theme="1"/>
      <name val="Microsoft JhengHei UI Light"/>
      <family val="2"/>
      <charset val="136"/>
    </font>
    <font>
      <sz val="11"/>
      <color theme="1"/>
      <name val="DejaVu Sans"/>
      <family val="2"/>
    </font>
    <font>
      <sz val="9"/>
      <name val="細明體"/>
      <family val="3"/>
      <charset val="136"/>
    </font>
    <font>
      <sz val="11"/>
      <color theme="1"/>
      <name val="微軟正黑體"/>
      <family val="2"/>
      <charset val="136"/>
    </font>
    <font>
      <sz val="11"/>
      <color theme="1"/>
      <name val="DejaVu Sans"/>
      <family val="2"/>
      <charset val="136"/>
    </font>
    <font>
      <sz val="11"/>
      <name val="Microsoft JhengHei UI Light"/>
      <family val="2"/>
      <charset val="136"/>
    </font>
    <font>
      <sz val="11"/>
      <name val="Microsoft JhengHei UI Light"/>
      <family val="2"/>
      <charset val="136"/>
    </font>
    <font>
      <sz val="11"/>
      <color theme="1"/>
      <name val="Arial"/>
      <family val="2"/>
    </font>
    <font>
      <sz val="11"/>
      <color theme="1"/>
      <name val="DejaVu Sans"/>
      <family val="1"/>
      <charset val="136"/>
    </font>
    <font>
      <sz val="11"/>
      <color theme="1"/>
      <name val="Segoe UI Symbol"/>
      <family val="2"/>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xf>
    <xf numFmtId="0" fontId="1" fillId="0" borderId="0" xfId="0" applyFont="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2" fillId="0" borderId="0" xfId="0" applyFont="1" applyAlignment="1">
      <alignment vertical="top" wrapText="1"/>
    </xf>
    <xf numFmtId="0" fontId="0" fillId="0" borderId="0" xfId="0" applyAlignment="1">
      <alignment wrapText="1"/>
    </xf>
    <xf numFmtId="0" fontId="1" fillId="0" borderId="1" xfId="0" applyFont="1" applyBorder="1" applyAlignment="1">
      <alignment horizontal="left" vertical="top"/>
    </xf>
    <xf numFmtId="0" fontId="0" fillId="0" borderId="1" xfId="0" applyBorder="1" applyAlignment="1">
      <alignment vertical="top" wrapText="1"/>
    </xf>
    <xf numFmtId="0" fontId="1" fillId="0" borderId="0" xfId="0" applyFont="1" applyAlignment="1">
      <alignment vertical="top"/>
    </xf>
    <xf numFmtId="0" fontId="5" fillId="0" borderId="1" xfId="0" applyFont="1" applyBorder="1" applyAlignment="1">
      <alignment horizontal="left" vertical="top" wrapText="1"/>
    </xf>
    <xf numFmtId="0" fontId="4" fillId="0" borderId="1" xfId="0" applyFont="1" applyBorder="1" applyAlignment="1">
      <alignment horizontal="left" vertical="top"/>
    </xf>
    <xf numFmtId="0" fontId="1" fillId="0" borderId="1" xfId="0" applyFont="1" applyBorder="1" applyAlignment="1">
      <alignment vertical="top"/>
    </xf>
    <xf numFmtId="49" fontId="0" fillId="0" borderId="0" xfId="0" applyNumberFormat="1"/>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0" fontId="6" fillId="0" borderId="1" xfId="0" applyFont="1" applyBorder="1" applyAlignment="1">
      <alignment horizontal="center" vertical="top" wrapText="1"/>
    </xf>
    <xf numFmtId="49" fontId="6" fillId="0" borderId="1" xfId="0" applyNumberFormat="1" applyFont="1" applyBorder="1" applyAlignment="1">
      <alignment horizontal="center"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6" fillId="0" borderId="0" xfId="0" applyFont="1" applyAlignment="1">
      <alignment vertical="top" wrapText="1"/>
    </xf>
    <xf numFmtId="0" fontId="1" fillId="0" borderId="11" xfId="0" applyFont="1" applyBorder="1" applyAlignment="1">
      <alignment vertical="top"/>
    </xf>
    <xf numFmtId="49" fontId="6" fillId="0" borderId="11" xfId="0" applyNumberFormat="1" applyFont="1" applyBorder="1" applyAlignment="1">
      <alignment horizontal="center" vertical="top" wrapText="1"/>
    </xf>
    <xf numFmtId="0" fontId="6" fillId="0" borderId="11" xfId="0" applyFont="1" applyBorder="1" applyAlignment="1">
      <alignment vertical="top" wrapText="1"/>
    </xf>
    <xf numFmtId="0" fontId="7" fillId="0" borderId="11" xfId="0" applyFont="1" applyBorder="1" applyAlignment="1">
      <alignment vertical="top" wrapText="1"/>
    </xf>
    <xf numFmtId="0" fontId="6" fillId="0" borderId="11" xfId="0" applyFont="1" applyBorder="1" applyAlignment="1">
      <alignment horizontal="center" vertical="top" wrapText="1"/>
    </xf>
    <xf numFmtId="0" fontId="6" fillId="0" borderId="12" xfId="0" applyFont="1" applyBorder="1" applyAlignment="1">
      <alignment horizontal="center" vertical="top" wrapText="1"/>
    </xf>
    <xf numFmtId="49" fontId="6" fillId="0" borderId="12" xfId="0" applyNumberFormat="1" applyFont="1" applyBorder="1" applyAlignment="1">
      <alignment horizontal="center" vertical="top" wrapText="1"/>
    </xf>
    <xf numFmtId="0" fontId="6" fillId="0" borderId="12" xfId="0" applyFont="1" applyBorder="1" applyAlignment="1">
      <alignment vertical="top" wrapText="1"/>
    </xf>
    <xf numFmtId="0" fontId="0" fillId="0" borderId="1" xfId="0" applyBorder="1" applyAlignment="1">
      <alignment vertical="top"/>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12" xfId="0" applyFont="1" applyBorder="1" applyAlignment="1">
      <alignment horizontal="left" vertical="top" wrapText="1"/>
    </xf>
    <xf numFmtId="0" fontId="6" fillId="0" borderId="11" xfId="0" applyFont="1" applyBorder="1" applyAlignment="1">
      <alignment horizontal="left" vertical="top" wrapText="1"/>
    </xf>
    <xf numFmtId="0" fontId="0" fillId="0" borderId="0" xfId="0" applyAlignment="1">
      <alignment horizontal="left"/>
    </xf>
    <xf numFmtId="49" fontId="6" fillId="0" borderId="1" xfId="0" applyNumberFormat="1" applyFont="1" applyBorder="1" applyAlignment="1">
      <alignment vertical="top" wrapText="1"/>
    </xf>
    <xf numFmtId="49" fontId="1" fillId="0" borderId="1" xfId="0" applyNumberFormat="1" applyFont="1" applyBorder="1" applyAlignment="1">
      <alignment vertical="top"/>
    </xf>
    <xf numFmtId="0" fontId="1" fillId="0" borderId="0" xfId="0" applyFont="1" applyAlignment="1">
      <alignment vertical="center"/>
    </xf>
    <xf numFmtId="49" fontId="1" fillId="0" borderId="0" xfId="0" applyNumberFormat="1" applyFont="1" applyAlignment="1">
      <alignment vertical="center"/>
    </xf>
    <xf numFmtId="0" fontId="1" fillId="0" borderId="0" xfId="0" applyFont="1" applyAlignment="1">
      <alignment horizontal="left" vertical="center"/>
    </xf>
    <xf numFmtId="0" fontId="4" fillId="0" borderId="1" xfId="0" applyFont="1" applyBorder="1" applyAlignment="1">
      <alignment vertical="top" wrapText="1"/>
    </xf>
    <xf numFmtId="0" fontId="4" fillId="0" borderId="1" xfId="0" applyFont="1" applyBorder="1" applyAlignment="1">
      <alignment horizontal="left" vertical="top" wrapText="1"/>
    </xf>
    <xf numFmtId="0" fontId="1" fillId="0" borderId="0" xfId="0" applyFont="1" applyAlignment="1">
      <alignment horizontal="left" vertical="top"/>
    </xf>
    <xf numFmtId="0" fontId="1" fillId="0" borderId="1" xfId="0" applyFont="1" applyBorder="1" applyAlignment="1">
      <alignment horizontal="center" vertical="top" wrapText="1"/>
    </xf>
    <xf numFmtId="0" fontId="2" fillId="0" borderId="0" xfId="0" applyFont="1" applyAlignment="1">
      <alignment horizontal="left" vertical="top" wrapText="1"/>
    </xf>
    <xf numFmtId="0" fontId="1" fillId="0" borderId="0" xfId="0" applyFont="1" applyAlignment="1">
      <alignment vertical="top" wrapText="1"/>
    </xf>
    <xf numFmtId="0" fontId="2" fillId="0" borderId="1" xfId="0" applyFont="1" applyBorder="1" applyAlignment="1">
      <alignment horizontal="left" vertical="top" wrapText="1"/>
    </xf>
    <xf numFmtId="0" fontId="0" fillId="0" borderId="4" xfId="0" applyBorder="1"/>
    <xf numFmtId="0" fontId="0" fillId="0" borderId="5" xfId="0" applyBorder="1"/>
    <xf numFmtId="0" fontId="2" fillId="0" borderId="1" xfId="0" applyFont="1" applyBorder="1" applyAlignment="1">
      <alignment horizontal="left" vertical="top"/>
    </xf>
    <xf numFmtId="0" fontId="1" fillId="0" borderId="1" xfId="0" applyFont="1" applyBorder="1" applyAlignment="1">
      <alignment horizontal="left" vertical="top" wrapText="1"/>
    </xf>
    <xf numFmtId="0" fontId="5" fillId="0" borderId="1" xfId="0" applyFont="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4" fillId="0" borderId="0" xfId="0" applyFont="1" applyAlignment="1">
      <alignment horizontal="left" vertical="top"/>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zoomScaleNormal="100" workbookViewId="0">
      <selection activeCell="F9" sqref="F9:H18"/>
    </sheetView>
  </sheetViews>
  <sheetFormatPr defaultColWidth="9.140625" defaultRowHeight="15"/>
  <cols>
    <col min="1" max="1" width="11.42578125" style="4" customWidth="1"/>
    <col min="2" max="2" width="26.85546875" style="4" customWidth="1"/>
    <col min="3" max="3" width="32.42578125" style="4" customWidth="1"/>
    <col min="4" max="10" width="25.7109375" style="4" customWidth="1"/>
    <col min="11" max="16" width="9.140625" style="4" customWidth="1"/>
    <col min="17" max="16384" width="9.140625" style="4"/>
  </cols>
  <sheetData>
    <row r="1" spans="1:10">
      <c r="A1" s="61" t="s">
        <v>318</v>
      </c>
      <c r="B1" s="47"/>
      <c r="C1" s="47"/>
    </row>
    <row r="3" spans="1:10" ht="15.75" customHeight="1">
      <c r="A3" s="51" t="s">
        <v>28</v>
      </c>
      <c r="B3" s="49"/>
      <c r="C3" s="49"/>
      <c r="D3" s="49"/>
      <c r="E3" s="49"/>
      <c r="F3" s="49"/>
      <c r="G3" s="49"/>
      <c r="H3" s="49"/>
      <c r="I3" s="49"/>
      <c r="J3" s="50"/>
    </row>
    <row r="4" spans="1:10">
      <c r="A4" s="42" t="s">
        <v>274</v>
      </c>
      <c r="B4" s="6" t="s">
        <v>275</v>
      </c>
      <c r="C4" s="42" t="s">
        <v>276</v>
      </c>
      <c r="D4" s="42" t="s">
        <v>277</v>
      </c>
      <c r="E4" s="42" t="s">
        <v>278</v>
      </c>
      <c r="F4" s="42" t="s">
        <v>279</v>
      </c>
      <c r="G4" s="42" t="s">
        <v>280</v>
      </c>
      <c r="H4" s="42" t="s">
        <v>281</v>
      </c>
      <c r="I4" s="42" t="s">
        <v>282</v>
      </c>
      <c r="J4" s="42" t="s">
        <v>283</v>
      </c>
    </row>
    <row r="5" spans="1:10" ht="135" customHeight="1">
      <c r="A5" s="5" t="s">
        <v>30</v>
      </c>
      <c r="B5" s="5" t="s">
        <v>31</v>
      </c>
      <c r="C5" s="5" t="s">
        <v>32</v>
      </c>
      <c r="D5" s="6" t="s">
        <v>269</v>
      </c>
      <c r="E5" s="5" t="s">
        <v>33</v>
      </c>
      <c r="F5" s="5" t="s">
        <v>34</v>
      </c>
      <c r="G5" s="5" t="s">
        <v>35</v>
      </c>
      <c r="H5" s="5" t="s">
        <v>36</v>
      </c>
      <c r="I5" s="5" t="s">
        <v>37</v>
      </c>
      <c r="J5" s="5" t="s">
        <v>38</v>
      </c>
    </row>
    <row r="6" spans="1:10" ht="60" customHeight="1">
      <c r="A6" s="42" t="s">
        <v>307</v>
      </c>
      <c r="B6" s="5" t="s">
        <v>39</v>
      </c>
      <c r="C6" s="5" t="s">
        <v>40</v>
      </c>
      <c r="D6" s="6" t="s">
        <v>270</v>
      </c>
      <c r="E6" s="5" t="s">
        <v>41</v>
      </c>
      <c r="F6" s="5" t="s">
        <v>42</v>
      </c>
      <c r="G6" s="5" t="s">
        <v>43</v>
      </c>
      <c r="H6" s="5" t="s">
        <v>44</v>
      </c>
      <c r="I6" s="5" t="s">
        <v>45</v>
      </c>
      <c r="J6" s="5" t="s">
        <v>46</v>
      </c>
    </row>
    <row r="8" spans="1:10" ht="15" customHeight="1">
      <c r="A8" s="52" t="s">
        <v>47</v>
      </c>
      <c r="B8" s="49"/>
      <c r="C8" s="49"/>
      <c r="D8" s="50"/>
      <c r="F8" s="48" t="s">
        <v>48</v>
      </c>
      <c r="G8" s="49"/>
      <c r="H8" s="50"/>
    </row>
    <row r="9" spans="1:10" ht="15" customHeight="1">
      <c r="A9" s="48" t="s">
        <v>49</v>
      </c>
      <c r="B9" s="49"/>
      <c r="C9" s="49"/>
      <c r="D9" s="50"/>
      <c r="F9" s="53" t="s">
        <v>271</v>
      </c>
      <c r="G9" s="54"/>
      <c r="H9" s="55"/>
    </row>
    <row r="10" spans="1:10" ht="15" customHeight="1">
      <c r="A10" s="48" t="s">
        <v>50</v>
      </c>
      <c r="B10" s="49"/>
      <c r="C10" s="49"/>
      <c r="D10" s="50"/>
      <c r="F10" s="56"/>
      <c r="G10" s="47"/>
      <c r="H10" s="57"/>
    </row>
    <row r="11" spans="1:10" ht="15" customHeight="1">
      <c r="A11" s="48" t="s">
        <v>51</v>
      </c>
      <c r="B11" s="49"/>
      <c r="C11" s="49"/>
      <c r="D11" s="50"/>
      <c r="F11" s="56"/>
      <c r="G11" s="47"/>
      <c r="H11" s="57"/>
    </row>
    <row r="12" spans="1:10" ht="15" customHeight="1">
      <c r="A12" s="48" t="s">
        <v>52</v>
      </c>
      <c r="B12" s="49"/>
      <c r="C12" s="49"/>
      <c r="D12" s="50"/>
      <c r="F12" s="56"/>
      <c r="G12" s="47"/>
      <c r="H12" s="57"/>
    </row>
    <row r="13" spans="1:10" ht="15" customHeight="1">
      <c r="A13" s="48" t="s">
        <v>53</v>
      </c>
      <c r="B13" s="49"/>
      <c r="C13" s="49"/>
      <c r="D13" s="50"/>
      <c r="F13" s="56"/>
      <c r="G13" s="47"/>
      <c r="H13" s="57"/>
    </row>
    <row r="14" spans="1:10" ht="15" customHeight="1">
      <c r="A14" s="48" t="s">
        <v>54</v>
      </c>
      <c r="B14" s="49"/>
      <c r="C14" s="49"/>
      <c r="D14" s="50"/>
      <c r="F14" s="56"/>
      <c r="G14" s="47"/>
      <c r="H14" s="57"/>
    </row>
    <row r="15" spans="1:10" ht="15" customHeight="1">
      <c r="A15" s="48" t="s">
        <v>55</v>
      </c>
      <c r="B15" s="49"/>
      <c r="C15" s="49"/>
      <c r="D15" s="50"/>
      <c r="F15" s="56"/>
      <c r="G15" s="47"/>
      <c r="H15" s="57"/>
    </row>
    <row r="16" spans="1:10" ht="15" customHeight="1">
      <c r="A16" s="48" t="s">
        <v>56</v>
      </c>
      <c r="B16" s="49"/>
      <c r="C16" s="49"/>
      <c r="D16" s="50"/>
      <c r="F16" s="56"/>
      <c r="G16" s="47"/>
      <c r="H16" s="57"/>
    </row>
    <row r="17" spans="1:8" ht="15" customHeight="1">
      <c r="A17" s="48" t="s">
        <v>57</v>
      </c>
      <c r="B17" s="49"/>
      <c r="C17" s="49"/>
      <c r="D17" s="50"/>
      <c r="F17" s="56"/>
      <c r="G17" s="47"/>
      <c r="H17" s="57"/>
    </row>
    <row r="18" spans="1:8" ht="15" customHeight="1">
      <c r="A18" s="48" t="s">
        <v>58</v>
      </c>
      <c r="B18" s="49"/>
      <c r="C18" s="49"/>
      <c r="D18" s="50"/>
      <c r="F18" s="58"/>
      <c r="G18" s="59"/>
      <c r="H18" s="60"/>
    </row>
    <row r="20" spans="1:8" ht="15" customHeight="1">
      <c r="A20" s="48" t="s">
        <v>59</v>
      </c>
      <c r="B20" s="49"/>
      <c r="C20" s="49"/>
      <c r="D20" s="50"/>
    </row>
    <row r="21" spans="1:8" ht="59.25" customHeight="1">
      <c r="A21" s="52" t="s">
        <v>60</v>
      </c>
      <c r="B21" s="49"/>
      <c r="C21" s="49"/>
      <c r="D21" s="50"/>
    </row>
    <row r="34" spans="1:4" ht="15" customHeight="1">
      <c r="A34" s="46" t="s">
        <v>48</v>
      </c>
      <c r="B34" s="47"/>
      <c r="C34" s="47"/>
      <c r="D34" s="47"/>
    </row>
    <row r="35" spans="1:4">
      <c r="A35" s="7" t="s">
        <v>61</v>
      </c>
    </row>
  </sheetData>
  <mergeCells count="18">
    <mergeCell ref="A8:D8"/>
    <mergeCell ref="A1:C1"/>
    <mergeCell ref="A34:D34"/>
    <mergeCell ref="A12:D12"/>
    <mergeCell ref="A20:D20"/>
    <mergeCell ref="A3:J3"/>
    <mergeCell ref="A21:D21"/>
    <mergeCell ref="F8:H8"/>
    <mergeCell ref="F9:H18"/>
    <mergeCell ref="A15:D15"/>
    <mergeCell ref="A16:D16"/>
    <mergeCell ref="A11:D11"/>
    <mergeCell ref="A10:D10"/>
    <mergeCell ref="A13:D13"/>
    <mergeCell ref="A14:D14"/>
    <mergeCell ref="A17:D17"/>
    <mergeCell ref="A18:D18"/>
    <mergeCell ref="A9:D9"/>
  </mergeCells>
  <phoneticPr fontId="3"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B2" sqref="B2"/>
    </sheetView>
  </sheetViews>
  <sheetFormatPr defaultColWidth="8.5703125" defaultRowHeight="15.75"/>
  <cols>
    <col min="1" max="1" width="10.5703125" style="8" customWidth="1"/>
    <col min="2" max="2" width="79.140625" customWidth="1"/>
    <col min="3" max="3" width="82.140625" customWidth="1"/>
    <col min="4" max="4" width="20" customWidth="1"/>
    <col min="5" max="5" width="40" customWidth="1"/>
    <col min="6" max="6" width="30" customWidth="1"/>
  </cols>
  <sheetData>
    <row r="1" spans="1:6">
      <c r="A1" s="1" t="s">
        <v>29</v>
      </c>
      <c r="B1" s="3" t="s">
        <v>62</v>
      </c>
      <c r="C1" s="9" t="s">
        <v>284</v>
      </c>
      <c r="D1" s="3" t="s">
        <v>63</v>
      </c>
      <c r="E1" s="3" t="s">
        <v>64</v>
      </c>
      <c r="F1" s="3" t="s">
        <v>65</v>
      </c>
    </row>
    <row r="2" spans="1:6" ht="409.5" customHeight="1">
      <c r="A2" s="1" t="s">
        <v>30</v>
      </c>
      <c r="B2" s="12" t="s">
        <v>133</v>
      </c>
      <c r="C2" s="12" t="s">
        <v>272</v>
      </c>
      <c r="D2" s="1" t="s">
        <v>66</v>
      </c>
      <c r="E2" s="2" t="s">
        <v>67</v>
      </c>
      <c r="F2" s="1" t="s">
        <v>68</v>
      </c>
    </row>
    <row r="3" spans="1:6" ht="409.5" customHeight="1">
      <c r="A3" s="43" t="s">
        <v>307</v>
      </c>
      <c r="B3" s="1" t="s">
        <v>69</v>
      </c>
      <c r="C3" s="12" t="s">
        <v>273</v>
      </c>
      <c r="D3" s="3" t="s">
        <v>70</v>
      </c>
      <c r="E3" s="2" t="s">
        <v>71</v>
      </c>
      <c r="F3" s="10"/>
    </row>
  </sheetData>
  <phoneticPr fontId="3"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zoomScaleNormal="100" workbookViewId="0">
      <selection activeCell="C12" sqref="C12"/>
    </sheetView>
  </sheetViews>
  <sheetFormatPr defaultColWidth="9.140625" defaultRowHeight="15"/>
  <cols>
    <col min="1" max="1" width="16.42578125" style="11" customWidth="1"/>
    <col min="2" max="2" width="62.42578125" style="11" customWidth="1"/>
    <col min="3" max="4" width="72.28515625" style="11" customWidth="1"/>
    <col min="5" max="5" width="18.28515625" style="11" customWidth="1"/>
    <col min="6" max="6" width="24.42578125" style="11" customWidth="1"/>
    <col min="7" max="11" width="9.140625" style="11" customWidth="1"/>
    <col min="12" max="16384" width="9.140625" style="11"/>
  </cols>
  <sheetData>
    <row r="1" spans="1:6">
      <c r="A1" s="1" t="s">
        <v>29</v>
      </c>
      <c r="B1" s="13" t="s">
        <v>72</v>
      </c>
      <c r="C1" s="9" t="s">
        <v>73</v>
      </c>
      <c r="D1" s="9" t="s">
        <v>74</v>
      </c>
      <c r="E1" s="9" t="s">
        <v>75</v>
      </c>
      <c r="F1" s="14" t="s">
        <v>76</v>
      </c>
    </row>
    <row r="2" spans="1:6" ht="409.5" customHeight="1">
      <c r="A2" s="43" t="s">
        <v>304</v>
      </c>
      <c r="B2" s="5" t="s">
        <v>77</v>
      </c>
      <c r="C2" s="6" t="s">
        <v>78</v>
      </c>
      <c r="D2" s="6" t="s">
        <v>79</v>
      </c>
      <c r="E2" s="6" t="s">
        <v>80</v>
      </c>
      <c r="F2" s="6" t="s">
        <v>81</v>
      </c>
    </row>
    <row r="3" spans="1:6" ht="409.5" customHeight="1">
      <c r="A3" s="12" t="s">
        <v>305</v>
      </c>
      <c r="B3" s="5" t="s">
        <v>82</v>
      </c>
      <c r="C3" s="6" t="s">
        <v>259</v>
      </c>
      <c r="D3" s="6" t="s">
        <v>83</v>
      </c>
      <c r="E3" s="6" t="s">
        <v>261</v>
      </c>
      <c r="F3" s="6" t="s">
        <v>84</v>
      </c>
    </row>
  </sheetData>
  <phoneticPr fontId="3" type="noConversion"/>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6"/>
  <sheetViews>
    <sheetView zoomScaleNormal="100" workbookViewId="0">
      <pane ySplit="1" topLeftCell="A15" activePane="bottomLeft" state="frozen"/>
      <selection pane="bottomLeft" activeCell="D16" sqref="D16"/>
    </sheetView>
  </sheetViews>
  <sheetFormatPr defaultColWidth="8.5703125" defaultRowHeight="15.75"/>
  <cols>
    <col min="1" max="1" width="9.28515625" customWidth="1"/>
    <col min="2" max="2" width="10" style="15" customWidth="1"/>
    <col min="3" max="3" width="27" customWidth="1"/>
    <col min="4" max="4" width="38.28515625" customWidth="1"/>
    <col min="5" max="5" width="18.42578125" customWidth="1"/>
    <col min="6" max="6" width="15.42578125" bestFit="1" customWidth="1"/>
    <col min="7" max="7" width="42.7109375" customWidth="1"/>
    <col min="8" max="8" width="20.85546875" bestFit="1" customWidth="1"/>
    <col min="9" max="9" width="11.28515625" style="36" customWidth="1"/>
    <col min="10" max="10" width="15.42578125" bestFit="1" customWidth="1"/>
    <col min="11" max="11" width="21.7109375" style="4" customWidth="1"/>
    <col min="12" max="12" width="22.5703125" style="4" customWidth="1"/>
    <col min="13" max="13" width="22.5703125" customWidth="1"/>
  </cols>
  <sheetData>
    <row r="1" spans="1:13" ht="30">
      <c r="A1" s="16" t="s">
        <v>0</v>
      </c>
      <c r="B1" s="17" t="s">
        <v>1</v>
      </c>
      <c r="C1" s="6" t="s">
        <v>2</v>
      </c>
      <c r="D1" s="14" t="s">
        <v>108</v>
      </c>
      <c r="E1" s="14" t="s">
        <v>109</v>
      </c>
      <c r="F1" s="14" t="s">
        <v>3</v>
      </c>
      <c r="G1" s="14" t="s">
        <v>4</v>
      </c>
      <c r="H1" s="14" t="s">
        <v>182</v>
      </c>
      <c r="I1" s="2" t="s">
        <v>203</v>
      </c>
      <c r="J1" s="14" t="s">
        <v>5</v>
      </c>
      <c r="K1" s="6" t="s">
        <v>228</v>
      </c>
      <c r="L1" s="6" t="s">
        <v>229</v>
      </c>
      <c r="M1" s="14" t="s">
        <v>222</v>
      </c>
    </row>
    <row r="2" spans="1:13" ht="195">
      <c r="A2" s="18" t="s">
        <v>6</v>
      </c>
      <c r="B2" s="19" t="s">
        <v>7</v>
      </c>
      <c r="C2" s="20" t="s">
        <v>8</v>
      </c>
      <c r="D2" s="20" t="s">
        <v>293</v>
      </c>
      <c r="E2" s="20"/>
      <c r="F2" s="20" t="s">
        <v>102</v>
      </c>
      <c r="G2" s="20" t="s">
        <v>106</v>
      </c>
      <c r="H2" s="20" t="s">
        <v>157</v>
      </c>
      <c r="I2" s="32">
        <v>3</v>
      </c>
      <c r="J2" s="20" t="s">
        <v>107</v>
      </c>
      <c r="K2" s="6" t="s">
        <v>232</v>
      </c>
      <c r="L2" s="20" t="s">
        <v>230</v>
      </c>
      <c r="M2" s="20" t="s">
        <v>226</v>
      </c>
    </row>
    <row r="3" spans="1:13" ht="90">
      <c r="A3" s="18"/>
      <c r="B3" s="19"/>
      <c r="C3" s="20"/>
      <c r="D3" s="20" t="s">
        <v>105</v>
      </c>
      <c r="E3" s="20"/>
      <c r="F3" s="20" t="s">
        <v>103</v>
      </c>
      <c r="G3" s="21"/>
      <c r="H3" s="21"/>
      <c r="I3" s="33"/>
      <c r="J3" s="20"/>
      <c r="K3" s="6"/>
      <c r="L3" s="20"/>
      <c r="M3" s="20"/>
    </row>
    <row r="4" spans="1:13" ht="120">
      <c r="A4" s="18"/>
      <c r="B4" s="19" t="s">
        <v>9</v>
      </c>
      <c r="C4" s="20" t="s">
        <v>10</v>
      </c>
      <c r="D4" s="20" t="s">
        <v>294</v>
      </c>
      <c r="E4" s="20"/>
      <c r="F4" s="20" t="s">
        <v>104</v>
      </c>
      <c r="G4" s="30" t="s">
        <v>110</v>
      </c>
      <c r="H4" s="30" t="s">
        <v>183</v>
      </c>
      <c r="I4" s="34">
        <v>2</v>
      </c>
      <c r="J4" s="30" t="s">
        <v>104</v>
      </c>
      <c r="K4" s="6"/>
      <c r="L4" s="30"/>
      <c r="M4" s="30" t="s">
        <v>124</v>
      </c>
    </row>
    <row r="5" spans="1:13" ht="90">
      <c r="A5" s="27"/>
      <c r="B5" s="24" t="s">
        <v>11</v>
      </c>
      <c r="C5" s="25" t="s">
        <v>12</v>
      </c>
      <c r="D5" s="25" t="s">
        <v>13</v>
      </c>
      <c r="E5" s="25"/>
      <c r="F5" s="25" t="s">
        <v>112</v>
      </c>
      <c r="G5" s="22" t="s">
        <v>111</v>
      </c>
      <c r="H5" s="25" t="s">
        <v>184</v>
      </c>
      <c r="I5" s="35">
        <v>1</v>
      </c>
      <c r="J5" s="25" t="s">
        <v>112</v>
      </c>
      <c r="K5" s="20" t="s">
        <v>237</v>
      </c>
      <c r="L5" s="20" t="s">
        <v>231</v>
      </c>
      <c r="M5" s="20" t="s">
        <v>223</v>
      </c>
    </row>
    <row r="6" spans="1:13" ht="225">
      <c r="A6" s="18"/>
      <c r="B6" s="19" t="s">
        <v>15</v>
      </c>
      <c r="C6" s="20" t="s">
        <v>16</v>
      </c>
      <c r="D6" s="20" t="s">
        <v>122</v>
      </c>
      <c r="E6" s="20" t="s">
        <v>300</v>
      </c>
      <c r="F6" s="20" t="s">
        <v>114</v>
      </c>
      <c r="G6" s="20" t="s">
        <v>113</v>
      </c>
      <c r="H6" s="20" t="s">
        <v>185</v>
      </c>
      <c r="I6" s="32">
        <v>3</v>
      </c>
      <c r="J6" s="20" t="s">
        <v>114</v>
      </c>
      <c r="K6" s="6"/>
      <c r="L6" s="20"/>
      <c r="M6" s="20"/>
    </row>
    <row r="7" spans="1:13" ht="210">
      <c r="A7" s="18"/>
      <c r="B7" s="19" t="s">
        <v>17</v>
      </c>
      <c r="C7" s="20" t="s">
        <v>224</v>
      </c>
      <c r="D7" s="6" t="s">
        <v>295</v>
      </c>
      <c r="E7" s="6"/>
      <c r="F7" s="20" t="s">
        <v>126</v>
      </c>
      <c r="G7" s="20" t="s">
        <v>125</v>
      </c>
      <c r="H7" s="20" t="s">
        <v>193</v>
      </c>
      <c r="I7" s="32">
        <v>2</v>
      </c>
      <c r="J7" s="20" t="s">
        <v>126</v>
      </c>
      <c r="K7" s="20" t="s">
        <v>227</v>
      </c>
      <c r="L7" s="20" t="s">
        <v>233</v>
      </c>
      <c r="M7" s="20" t="s">
        <v>225</v>
      </c>
    </row>
    <row r="8" spans="1:13" ht="135">
      <c r="A8" s="18"/>
      <c r="B8" s="19"/>
      <c r="C8" s="20"/>
      <c r="D8" s="20" t="s">
        <v>18</v>
      </c>
      <c r="E8" s="20"/>
      <c r="F8" s="20" t="s">
        <v>127</v>
      </c>
      <c r="G8" s="20" t="s">
        <v>132</v>
      </c>
      <c r="H8" s="30" t="s">
        <v>186</v>
      </c>
      <c r="I8" s="32">
        <v>2</v>
      </c>
      <c r="J8" s="20" t="s">
        <v>127</v>
      </c>
      <c r="K8" s="6"/>
      <c r="L8" s="20"/>
      <c r="M8" s="20" t="s">
        <v>225</v>
      </c>
    </row>
    <row r="9" spans="1:13" ht="180">
      <c r="A9" s="28"/>
      <c r="B9" s="29" t="s">
        <v>129</v>
      </c>
      <c r="C9" s="30" t="s">
        <v>19</v>
      </c>
      <c r="D9" s="30" t="s">
        <v>296</v>
      </c>
      <c r="E9" s="30"/>
      <c r="F9" s="30" t="s">
        <v>20</v>
      </c>
      <c r="G9" s="30" t="s">
        <v>131</v>
      </c>
      <c r="H9" s="30" t="s">
        <v>187</v>
      </c>
      <c r="I9" s="34">
        <v>1</v>
      </c>
      <c r="J9" s="30" t="s">
        <v>130</v>
      </c>
      <c r="K9" s="6"/>
      <c r="L9" s="20"/>
      <c r="M9" s="20" t="s">
        <v>128</v>
      </c>
    </row>
    <row r="10" spans="1:13" ht="225">
      <c r="A10" s="18" t="s">
        <v>21</v>
      </c>
      <c r="B10" s="19" t="s">
        <v>116</v>
      </c>
      <c r="C10" s="20" t="s">
        <v>115</v>
      </c>
      <c r="D10" s="20" t="s">
        <v>123</v>
      </c>
      <c r="E10" s="20" t="s">
        <v>298</v>
      </c>
      <c r="F10" s="20" t="s">
        <v>117</v>
      </c>
      <c r="G10" s="20" t="s">
        <v>134</v>
      </c>
      <c r="H10" s="20" t="s">
        <v>188</v>
      </c>
      <c r="I10" s="32">
        <v>3</v>
      </c>
      <c r="J10" s="20" t="s">
        <v>117</v>
      </c>
      <c r="K10" s="6"/>
      <c r="L10" s="20"/>
      <c r="M10" s="20" t="s">
        <v>226</v>
      </c>
    </row>
    <row r="11" spans="1:13" ht="75">
      <c r="A11" s="31"/>
      <c r="B11" s="19"/>
      <c r="C11" s="20"/>
      <c r="D11" s="20" t="s">
        <v>297</v>
      </c>
      <c r="E11" s="20" t="s">
        <v>143</v>
      </c>
      <c r="F11" s="20" t="s">
        <v>118</v>
      </c>
      <c r="G11" s="20" t="s">
        <v>135</v>
      </c>
      <c r="H11" s="20" t="s">
        <v>189</v>
      </c>
      <c r="I11" s="32">
        <v>1</v>
      </c>
      <c r="J11" s="20" t="s">
        <v>118</v>
      </c>
      <c r="K11" s="6"/>
      <c r="L11" s="20"/>
      <c r="M11" s="20" t="s">
        <v>128</v>
      </c>
    </row>
    <row r="12" spans="1:13" ht="150">
      <c r="A12" s="14"/>
      <c r="B12" s="19" t="s">
        <v>23</v>
      </c>
      <c r="C12" s="20" t="s">
        <v>119</v>
      </c>
      <c r="D12" s="20" t="s">
        <v>24</v>
      </c>
      <c r="E12" s="20" t="s">
        <v>220</v>
      </c>
      <c r="F12" s="20" t="s">
        <v>137</v>
      </c>
      <c r="G12" s="20" t="s">
        <v>219</v>
      </c>
      <c r="H12" s="20" t="s">
        <v>194</v>
      </c>
      <c r="I12" s="32">
        <v>3</v>
      </c>
      <c r="J12" s="20" t="s">
        <v>141</v>
      </c>
      <c r="K12" s="6"/>
      <c r="L12" s="20"/>
      <c r="M12" s="20" t="s">
        <v>226</v>
      </c>
    </row>
    <row r="13" spans="1:13" ht="90">
      <c r="A13" s="23"/>
      <c r="B13" s="24"/>
      <c r="C13" s="25"/>
      <c r="D13" s="25" t="s">
        <v>138</v>
      </c>
      <c r="E13" s="25" t="s">
        <v>221</v>
      </c>
      <c r="F13" s="25" t="s">
        <v>139</v>
      </c>
      <c r="G13" s="26"/>
      <c r="H13" s="26"/>
      <c r="I13" s="35"/>
      <c r="J13" s="25"/>
      <c r="K13" s="6"/>
      <c r="L13" s="25"/>
      <c r="M13" s="25"/>
    </row>
    <row r="14" spans="1:13" ht="60">
      <c r="A14" s="23"/>
      <c r="B14" s="24" t="s">
        <v>121</v>
      </c>
      <c r="C14" s="20" t="s">
        <v>120</v>
      </c>
      <c r="D14" s="20" t="s">
        <v>142</v>
      </c>
      <c r="E14" s="20"/>
      <c r="F14" s="20" t="s">
        <v>145</v>
      </c>
      <c r="G14" s="20" t="s">
        <v>144</v>
      </c>
      <c r="H14" s="20" t="s">
        <v>190</v>
      </c>
      <c r="I14" s="32">
        <v>1</v>
      </c>
      <c r="J14" s="14" t="s">
        <v>145</v>
      </c>
      <c r="K14" s="6"/>
      <c r="L14" s="20"/>
      <c r="M14" s="20" t="s">
        <v>146</v>
      </c>
    </row>
    <row r="15" spans="1:13" ht="255">
      <c r="A15" s="18"/>
      <c r="B15" s="19" t="s">
        <v>26</v>
      </c>
      <c r="C15" s="20" t="s">
        <v>136</v>
      </c>
      <c r="D15" s="20" t="s">
        <v>148</v>
      </c>
      <c r="E15" s="31"/>
      <c r="F15" s="31" t="s">
        <v>140</v>
      </c>
      <c r="G15" s="20" t="s">
        <v>147</v>
      </c>
      <c r="H15" s="20" t="s">
        <v>191</v>
      </c>
      <c r="I15" s="32">
        <v>4</v>
      </c>
      <c r="J15" s="20" t="s">
        <v>140</v>
      </c>
      <c r="K15" s="6" t="s">
        <v>238</v>
      </c>
      <c r="L15" s="20" t="s">
        <v>239</v>
      </c>
      <c r="M15" s="20" t="s">
        <v>226</v>
      </c>
    </row>
    <row r="16" spans="1:13" ht="135">
      <c r="A16" s="18" t="s">
        <v>27</v>
      </c>
      <c r="B16" s="19" t="s">
        <v>100</v>
      </c>
      <c r="C16" s="20" t="s">
        <v>240</v>
      </c>
      <c r="D16" s="6"/>
      <c r="E16" s="6" t="s">
        <v>299</v>
      </c>
      <c r="F16" s="20" t="s">
        <v>101</v>
      </c>
      <c r="G16" s="20" t="s">
        <v>235</v>
      </c>
      <c r="H16" s="20" t="s">
        <v>192</v>
      </c>
      <c r="I16" s="33">
        <v>4</v>
      </c>
      <c r="J16" s="20" t="s">
        <v>101</v>
      </c>
      <c r="K16" s="6" t="s">
        <v>234</v>
      </c>
      <c r="L16" s="20" t="s">
        <v>236</v>
      </c>
      <c r="M16" s="20" t="s">
        <v>241</v>
      </c>
    </row>
  </sheetData>
  <phoneticPr fontId="3"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
  <sheetViews>
    <sheetView zoomScaleNormal="100" workbookViewId="0">
      <pane ySplit="1" topLeftCell="A17" activePane="bottomLeft" state="frozen"/>
      <selection activeCell="B1" sqref="B1"/>
      <selection pane="bottomLeft" activeCell="D20" sqref="D20"/>
    </sheetView>
  </sheetViews>
  <sheetFormatPr defaultColWidth="8.5703125" defaultRowHeight="15"/>
  <cols>
    <col min="1" max="1" width="9.42578125" style="39" customWidth="1"/>
    <col min="2" max="2" width="10" style="40" customWidth="1"/>
    <col min="3" max="3" width="26.28515625" style="39" customWidth="1"/>
    <col min="4" max="4" width="36.140625" style="39" customWidth="1"/>
    <col min="5" max="5" width="18.7109375" style="39" customWidth="1"/>
    <col min="6" max="6" width="15.42578125" style="40" bestFit="1" customWidth="1"/>
    <col min="7" max="7" width="37.140625" style="39" customWidth="1"/>
    <col min="8" max="8" width="21.140625" style="39" customWidth="1"/>
    <col min="9" max="9" width="10" style="41" customWidth="1"/>
    <col min="10" max="10" width="14.28515625" style="39" customWidth="1"/>
    <col min="11" max="11" width="20" style="4" customWidth="1"/>
    <col min="12" max="12" width="19.85546875" style="4" customWidth="1"/>
    <col min="13" max="13" width="21.5703125" style="39" customWidth="1"/>
    <col min="14" max="16384" width="8.5703125" style="39"/>
  </cols>
  <sheetData>
    <row r="1" spans="1:13" ht="30">
      <c r="A1" s="16" t="s">
        <v>0</v>
      </c>
      <c r="B1" s="37" t="s">
        <v>1</v>
      </c>
      <c r="C1" s="6" t="s">
        <v>2</v>
      </c>
      <c r="D1" s="14" t="s">
        <v>108</v>
      </c>
      <c r="E1" s="14" t="s">
        <v>109</v>
      </c>
      <c r="F1" s="38" t="s">
        <v>3</v>
      </c>
      <c r="G1" s="14" t="s">
        <v>149</v>
      </c>
      <c r="H1" s="14" t="s">
        <v>182</v>
      </c>
      <c r="I1" s="32" t="s">
        <v>203</v>
      </c>
      <c r="J1" s="20" t="s">
        <v>5</v>
      </c>
      <c r="K1" s="6" t="s">
        <v>228</v>
      </c>
      <c r="L1" s="6" t="s">
        <v>229</v>
      </c>
      <c r="M1" s="20" t="s">
        <v>222</v>
      </c>
    </row>
    <row r="2" spans="1:13" ht="300">
      <c r="A2" s="18" t="s">
        <v>85</v>
      </c>
      <c r="B2" s="19" t="s">
        <v>152</v>
      </c>
      <c r="C2" s="20" t="s">
        <v>86</v>
      </c>
      <c r="D2" s="20" t="s">
        <v>287</v>
      </c>
      <c r="E2" s="20"/>
      <c r="F2" s="37" t="s">
        <v>102</v>
      </c>
      <c r="G2" s="20" t="s">
        <v>151</v>
      </c>
      <c r="H2" s="20" t="s">
        <v>211</v>
      </c>
      <c r="I2" s="32">
        <v>3</v>
      </c>
      <c r="J2" s="20" t="s">
        <v>102</v>
      </c>
      <c r="K2" s="6" t="s">
        <v>255</v>
      </c>
      <c r="L2" s="6" t="s">
        <v>250</v>
      </c>
      <c r="M2" s="20" t="s">
        <v>226</v>
      </c>
    </row>
    <row r="3" spans="1:13" ht="75">
      <c r="A3" s="18"/>
      <c r="B3" s="19"/>
      <c r="C3" s="20"/>
      <c r="D3" s="20" t="s">
        <v>288</v>
      </c>
      <c r="E3" s="20"/>
      <c r="F3" s="37" t="s">
        <v>103</v>
      </c>
      <c r="G3" s="20" t="s">
        <v>153</v>
      </c>
      <c r="H3" s="20" t="s">
        <v>212</v>
      </c>
      <c r="I3" s="32">
        <v>2</v>
      </c>
      <c r="J3" s="20" t="s">
        <v>103</v>
      </c>
      <c r="K3" s="6"/>
      <c r="L3" s="6"/>
      <c r="M3" s="20" t="s">
        <v>163</v>
      </c>
    </row>
    <row r="4" spans="1:13" ht="165">
      <c r="A4" s="18"/>
      <c r="B4" s="19" t="s">
        <v>9</v>
      </c>
      <c r="C4" s="20" t="s">
        <v>285</v>
      </c>
      <c r="D4" s="20" t="s">
        <v>173</v>
      </c>
      <c r="E4" s="20" t="s">
        <v>158</v>
      </c>
      <c r="F4" s="37" t="s">
        <v>159</v>
      </c>
      <c r="G4" s="20" t="s">
        <v>164</v>
      </c>
      <c r="H4" s="20" t="s">
        <v>195</v>
      </c>
      <c r="I4" s="32">
        <v>2</v>
      </c>
      <c r="J4" s="20" t="s">
        <v>159</v>
      </c>
      <c r="K4" s="6"/>
      <c r="L4" s="6"/>
      <c r="M4" s="20" t="s">
        <v>244</v>
      </c>
    </row>
    <row r="5" spans="1:13" ht="210">
      <c r="A5" s="18"/>
      <c r="B5" s="19"/>
      <c r="C5" s="20"/>
      <c r="D5" s="20"/>
      <c r="E5" s="20" t="s">
        <v>162</v>
      </c>
      <c r="F5" s="37" t="s">
        <v>161</v>
      </c>
      <c r="G5" s="20"/>
      <c r="H5" s="20"/>
      <c r="I5" s="32"/>
      <c r="J5" s="20"/>
      <c r="K5" s="6"/>
      <c r="L5" s="6"/>
      <c r="M5" s="20"/>
    </row>
    <row r="6" spans="1:13" ht="60">
      <c r="A6" s="18"/>
      <c r="B6" s="19"/>
      <c r="C6" s="20"/>
      <c r="D6" s="20" t="s">
        <v>155</v>
      </c>
      <c r="E6" s="20" t="s">
        <v>154</v>
      </c>
      <c r="F6" s="37" t="s">
        <v>160</v>
      </c>
      <c r="G6" s="4" t="s">
        <v>166</v>
      </c>
      <c r="H6" s="20" t="s">
        <v>196</v>
      </c>
      <c r="I6" s="32">
        <v>1</v>
      </c>
      <c r="J6" s="20" t="s">
        <v>161</v>
      </c>
      <c r="K6" s="6"/>
      <c r="L6" s="6"/>
      <c r="M6" s="20" t="s">
        <v>167</v>
      </c>
    </row>
    <row r="7" spans="1:13" ht="45">
      <c r="A7" s="18"/>
      <c r="B7" s="19"/>
      <c r="C7" s="20"/>
      <c r="D7" s="20" t="s">
        <v>156</v>
      </c>
      <c r="E7" s="20" t="s">
        <v>154</v>
      </c>
      <c r="F7" s="37" t="s">
        <v>165</v>
      </c>
      <c r="G7" s="20"/>
      <c r="H7" s="20"/>
      <c r="I7" s="32"/>
      <c r="J7" s="20"/>
      <c r="K7" s="6"/>
      <c r="L7" s="6"/>
      <c r="M7" s="20"/>
    </row>
    <row r="8" spans="1:13" ht="375">
      <c r="A8" s="18"/>
      <c r="B8" s="19" t="s">
        <v>11</v>
      </c>
      <c r="C8" s="20" t="s">
        <v>87</v>
      </c>
      <c r="D8" s="20" t="s">
        <v>289</v>
      </c>
      <c r="E8" s="20"/>
      <c r="F8" s="37" t="s">
        <v>14</v>
      </c>
      <c r="G8" s="20" t="s">
        <v>170</v>
      </c>
      <c r="H8" s="20"/>
      <c r="I8" s="32">
        <v>2</v>
      </c>
      <c r="J8" s="20" t="s">
        <v>112</v>
      </c>
      <c r="K8" s="6" t="s">
        <v>262</v>
      </c>
      <c r="L8" s="6" t="s">
        <v>263</v>
      </c>
      <c r="M8" s="20" t="s">
        <v>266</v>
      </c>
    </row>
    <row r="9" spans="1:13" ht="360">
      <c r="A9" s="18"/>
      <c r="B9" s="19" t="s">
        <v>15</v>
      </c>
      <c r="C9" s="20" t="s">
        <v>252</v>
      </c>
      <c r="D9" s="20" t="s">
        <v>150</v>
      </c>
      <c r="E9" s="20"/>
      <c r="F9" s="37" t="s">
        <v>168</v>
      </c>
      <c r="G9" s="20" t="s">
        <v>251</v>
      </c>
      <c r="H9" s="20" t="s">
        <v>253</v>
      </c>
      <c r="I9" s="32">
        <v>4</v>
      </c>
      <c r="J9" s="20" t="s">
        <v>198</v>
      </c>
      <c r="K9" s="6"/>
      <c r="L9" s="6"/>
      <c r="M9" s="20" t="s">
        <v>254</v>
      </c>
    </row>
    <row r="10" spans="1:13" ht="60">
      <c r="A10" s="18"/>
      <c r="B10" s="19"/>
      <c r="C10" s="20"/>
      <c r="D10" s="20" t="s">
        <v>88</v>
      </c>
      <c r="E10" s="20"/>
      <c r="F10" s="37" t="s">
        <v>169</v>
      </c>
      <c r="G10" s="20"/>
      <c r="H10" s="20"/>
      <c r="I10" s="32"/>
      <c r="J10" s="20"/>
      <c r="K10" s="6"/>
      <c r="L10" s="6"/>
      <c r="M10" s="20"/>
    </row>
    <row r="11" spans="1:13" ht="180">
      <c r="A11" s="18" t="s">
        <v>21</v>
      </c>
      <c r="B11" s="19" t="s">
        <v>22</v>
      </c>
      <c r="C11" s="20" t="s">
        <v>286</v>
      </c>
      <c r="D11" s="20" t="s">
        <v>171</v>
      </c>
      <c r="E11" s="20" t="s">
        <v>292</v>
      </c>
      <c r="F11" s="37" t="s">
        <v>172</v>
      </c>
      <c r="G11" s="20" t="s">
        <v>174</v>
      </c>
      <c r="H11" s="20" t="s">
        <v>213</v>
      </c>
      <c r="I11" s="32">
        <v>1</v>
      </c>
      <c r="J11" s="20" t="s">
        <v>172</v>
      </c>
      <c r="K11" s="6"/>
      <c r="L11" s="6"/>
      <c r="M11" s="20" t="s">
        <v>197</v>
      </c>
    </row>
    <row r="12" spans="1:13" ht="195">
      <c r="A12" s="18"/>
      <c r="B12" s="19" t="s">
        <v>23</v>
      </c>
      <c r="C12" s="20" t="s">
        <v>89</v>
      </c>
      <c r="D12" s="20" t="s">
        <v>90</v>
      </c>
      <c r="E12" s="20" t="s">
        <v>175</v>
      </c>
      <c r="F12" s="37" t="s">
        <v>137</v>
      </c>
      <c r="G12" s="20" t="s">
        <v>177</v>
      </c>
      <c r="H12" s="20" t="s">
        <v>194</v>
      </c>
      <c r="I12" s="32">
        <v>2</v>
      </c>
      <c r="J12" s="20" t="s">
        <v>141</v>
      </c>
      <c r="K12" s="6"/>
      <c r="L12" s="6"/>
      <c r="M12" s="20" t="s">
        <v>242</v>
      </c>
    </row>
    <row r="13" spans="1:13" ht="60">
      <c r="A13" s="18"/>
      <c r="B13" s="19"/>
      <c r="C13" s="20"/>
      <c r="D13" s="4" t="s">
        <v>176</v>
      </c>
      <c r="E13" s="6" t="s">
        <v>175</v>
      </c>
      <c r="F13" s="37" t="s">
        <v>91</v>
      </c>
      <c r="G13" s="20"/>
      <c r="H13" s="20"/>
      <c r="I13" s="32"/>
      <c r="J13" s="20"/>
      <c r="K13" s="6"/>
      <c r="L13" s="6"/>
      <c r="M13" s="20"/>
    </row>
    <row r="14" spans="1:13" ht="180">
      <c r="A14" s="18"/>
      <c r="B14" s="19" t="s">
        <v>25</v>
      </c>
      <c r="C14" s="20" t="s">
        <v>178</v>
      </c>
      <c r="D14" s="20" t="s">
        <v>92</v>
      </c>
      <c r="E14" s="20"/>
      <c r="F14" s="37" t="s">
        <v>179</v>
      </c>
      <c r="G14" s="20" t="s">
        <v>180</v>
      </c>
      <c r="H14" s="20" t="s">
        <v>246</v>
      </c>
      <c r="I14" s="32">
        <v>3</v>
      </c>
      <c r="J14" s="20" t="s">
        <v>179</v>
      </c>
      <c r="K14" s="6" t="s">
        <v>257</v>
      </c>
      <c r="L14" s="6" t="s">
        <v>256</v>
      </c>
      <c r="M14" s="20" t="s">
        <v>226</v>
      </c>
    </row>
    <row r="15" spans="1:13" ht="330">
      <c r="A15" s="18"/>
      <c r="B15" s="19"/>
      <c r="C15" s="20"/>
      <c r="D15" s="20" t="s">
        <v>93</v>
      </c>
      <c r="E15" s="20"/>
      <c r="F15" s="37" t="s">
        <v>181</v>
      </c>
      <c r="G15" s="20" t="s">
        <v>268</v>
      </c>
      <c r="H15" s="20" t="s">
        <v>245</v>
      </c>
      <c r="I15" s="32">
        <v>4</v>
      </c>
      <c r="J15" s="20" t="s">
        <v>199</v>
      </c>
      <c r="K15" s="6" t="s">
        <v>264</v>
      </c>
      <c r="L15" s="6" t="s">
        <v>265</v>
      </c>
      <c r="M15" s="20" t="s">
        <v>267</v>
      </c>
    </row>
    <row r="16" spans="1:13" ht="75">
      <c r="A16" s="18" t="s">
        <v>218</v>
      </c>
      <c r="B16" s="19" t="s">
        <v>94</v>
      </c>
      <c r="C16" s="20" t="s">
        <v>260</v>
      </c>
      <c r="D16" s="20" t="s">
        <v>95</v>
      </c>
      <c r="E16" s="20"/>
      <c r="F16" s="37" t="s">
        <v>201</v>
      </c>
      <c r="G16" s="20" t="s">
        <v>200</v>
      </c>
      <c r="H16" s="20" t="s">
        <v>202</v>
      </c>
      <c r="I16" s="32">
        <v>0.5</v>
      </c>
      <c r="J16" s="37" t="s">
        <v>201</v>
      </c>
      <c r="L16" s="6"/>
      <c r="M16" s="20" t="s">
        <v>243</v>
      </c>
    </row>
    <row r="17" spans="1:13" ht="120">
      <c r="A17" s="18"/>
      <c r="B17" s="19"/>
      <c r="C17" s="20"/>
      <c r="D17" s="20" t="s">
        <v>290</v>
      </c>
      <c r="E17" s="20"/>
      <c r="F17" s="37" t="s">
        <v>96</v>
      </c>
      <c r="G17" s="20" t="s">
        <v>205</v>
      </c>
      <c r="H17" s="20" t="s">
        <v>204</v>
      </c>
      <c r="I17" s="32">
        <v>0.5</v>
      </c>
      <c r="J17" s="20" t="s">
        <v>206</v>
      </c>
      <c r="K17" s="6"/>
      <c r="L17" s="6"/>
      <c r="M17" s="20" t="s">
        <v>243</v>
      </c>
    </row>
    <row r="18" spans="1:13" ht="75">
      <c r="A18" s="18"/>
      <c r="B18" s="19"/>
      <c r="C18" s="20"/>
      <c r="D18" s="20" t="s">
        <v>97</v>
      </c>
      <c r="E18" s="20"/>
      <c r="F18" s="37" t="s">
        <v>208</v>
      </c>
      <c r="G18" s="20" t="s">
        <v>207</v>
      </c>
      <c r="H18" s="20" t="s">
        <v>209</v>
      </c>
      <c r="I18" s="32">
        <v>0.5</v>
      </c>
      <c r="J18" s="20" t="s">
        <v>208</v>
      </c>
      <c r="K18" s="6"/>
      <c r="L18" s="6"/>
      <c r="M18" s="20" t="s">
        <v>243</v>
      </c>
    </row>
    <row r="19" spans="1:13" ht="60">
      <c r="A19" s="18"/>
      <c r="B19" s="19"/>
      <c r="C19" s="20"/>
      <c r="D19" s="20" t="s">
        <v>98</v>
      </c>
      <c r="E19" s="20"/>
      <c r="F19" s="37" t="s">
        <v>217</v>
      </c>
      <c r="G19" s="20" t="s">
        <v>247</v>
      </c>
      <c r="H19" s="20" t="s">
        <v>248</v>
      </c>
      <c r="I19" s="32">
        <v>1.5</v>
      </c>
      <c r="J19" s="20" t="s">
        <v>217</v>
      </c>
      <c r="K19" s="6"/>
      <c r="L19" s="6"/>
      <c r="M19" s="20" t="s">
        <v>258</v>
      </c>
    </row>
    <row r="20" spans="1:13" ht="135">
      <c r="A20" s="18" t="s">
        <v>27</v>
      </c>
      <c r="B20" s="19" t="s">
        <v>99</v>
      </c>
      <c r="C20" s="20" t="s">
        <v>216</v>
      </c>
      <c r="D20" s="20" t="s">
        <v>291</v>
      </c>
      <c r="E20" s="20"/>
      <c r="F20" s="37" t="s">
        <v>210</v>
      </c>
      <c r="G20" s="20" t="s">
        <v>214</v>
      </c>
      <c r="H20" s="20" t="s">
        <v>215</v>
      </c>
      <c r="I20" s="32">
        <v>3</v>
      </c>
      <c r="J20" s="20" t="s">
        <v>210</v>
      </c>
      <c r="K20" s="6"/>
      <c r="L20" s="6"/>
      <c r="M20" s="20" t="s">
        <v>249</v>
      </c>
    </row>
  </sheetData>
  <phoneticPr fontId="3" type="noConversion"/>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584F-7132-4114-B127-6D2E8D46098B}">
  <dimension ref="A1:I19"/>
  <sheetViews>
    <sheetView workbookViewId="0">
      <selection activeCell="A18" sqref="A18:A19"/>
    </sheetView>
  </sheetViews>
  <sheetFormatPr defaultRowHeight="15"/>
  <cols>
    <col min="1" max="1" width="15.28515625" style="44" bestFit="1" customWidth="1"/>
    <col min="2" max="2" width="11.5703125" style="44" bestFit="1" customWidth="1"/>
    <col min="3" max="3" width="15.42578125" style="44" bestFit="1" customWidth="1"/>
    <col min="4" max="4" width="21.85546875" style="44" bestFit="1" customWidth="1"/>
    <col min="5" max="5" width="8.42578125" style="44" bestFit="1" customWidth="1"/>
    <col min="6" max="6" width="15.42578125" style="44" customWidth="1"/>
    <col min="7" max="7" width="11.7109375" style="44" customWidth="1"/>
    <col min="8" max="8" width="14.5703125" style="44" bestFit="1" customWidth="1"/>
    <col min="9" max="9" width="15.140625" style="44" customWidth="1"/>
    <col min="10" max="16384" width="9.140625" style="44"/>
  </cols>
  <sheetData>
    <row r="1" spans="1:9">
      <c r="A1" s="45" t="s">
        <v>29</v>
      </c>
      <c r="B1" s="45" t="s">
        <v>301</v>
      </c>
      <c r="C1" s="45" t="s">
        <v>309</v>
      </c>
      <c r="D1" s="45" t="s">
        <v>310</v>
      </c>
      <c r="E1" s="45" t="s">
        <v>308</v>
      </c>
      <c r="F1" s="45" t="s">
        <v>311</v>
      </c>
      <c r="G1" s="45" t="s">
        <v>312</v>
      </c>
      <c r="H1" s="16" t="s">
        <v>313</v>
      </c>
      <c r="I1" s="45" t="s">
        <v>314</v>
      </c>
    </row>
    <row r="2" spans="1:9">
      <c r="A2" s="62" t="s">
        <v>30</v>
      </c>
      <c r="B2" s="2" t="s">
        <v>302</v>
      </c>
      <c r="C2" s="2">
        <v>19</v>
      </c>
      <c r="D2" s="2">
        <v>718</v>
      </c>
      <c r="E2" s="2">
        <f>C2+D2</f>
        <v>737</v>
      </c>
      <c r="F2" s="2">
        <v>1.4999999999999999E-2</v>
      </c>
      <c r="G2" s="2">
        <f>E2*F2</f>
        <v>11.055</v>
      </c>
      <c r="H2" s="64">
        <f>G2+G3</f>
        <v>27.338999999999999</v>
      </c>
      <c r="I2" s="62">
        <v>19.27</v>
      </c>
    </row>
    <row r="3" spans="1:9">
      <c r="A3" s="63"/>
      <c r="B3" s="2" t="s">
        <v>303</v>
      </c>
      <c r="C3" s="2">
        <v>90</v>
      </c>
      <c r="D3" s="2">
        <v>264</v>
      </c>
      <c r="E3" s="2">
        <f t="shared" ref="E3:E5" si="0">C3+D3</f>
        <v>354</v>
      </c>
      <c r="F3" s="2">
        <v>4.5999999999999999E-2</v>
      </c>
      <c r="G3" s="2">
        <f t="shared" ref="G3:G5" si="1">E3*F3</f>
        <v>16.283999999999999</v>
      </c>
      <c r="H3" s="65"/>
      <c r="I3" s="63"/>
    </row>
    <row r="4" spans="1:9">
      <c r="A4" s="62" t="s">
        <v>306</v>
      </c>
      <c r="B4" s="2" t="s">
        <v>302</v>
      </c>
      <c r="C4" s="2">
        <v>68</v>
      </c>
      <c r="D4" s="2">
        <v>13</v>
      </c>
      <c r="E4" s="2">
        <f t="shared" si="0"/>
        <v>81</v>
      </c>
      <c r="F4" s="2">
        <v>1.4999999999999999E-2</v>
      </c>
      <c r="G4" s="2">
        <f t="shared" si="1"/>
        <v>1.2149999999999999</v>
      </c>
      <c r="H4" s="64">
        <f>G4+G5</f>
        <v>18.280999999999999</v>
      </c>
      <c r="I4" s="62">
        <v>19</v>
      </c>
    </row>
    <row r="5" spans="1:9">
      <c r="A5" s="63"/>
      <c r="B5" s="2" t="s">
        <v>303</v>
      </c>
      <c r="C5" s="2">
        <v>52</v>
      </c>
      <c r="D5" s="2">
        <v>319</v>
      </c>
      <c r="E5" s="2">
        <f t="shared" si="0"/>
        <v>371</v>
      </c>
      <c r="F5" s="2">
        <v>4.5999999999999999E-2</v>
      </c>
      <c r="G5" s="2">
        <f t="shared" si="1"/>
        <v>17.065999999999999</v>
      </c>
      <c r="H5" s="65"/>
      <c r="I5" s="63"/>
    </row>
    <row r="13" spans="1:9">
      <c r="A13" s="45" t="s">
        <v>29</v>
      </c>
      <c r="B13" s="45" t="s">
        <v>301</v>
      </c>
      <c r="C13" s="45" t="s">
        <v>309</v>
      </c>
      <c r="D13" s="45" t="s">
        <v>310</v>
      </c>
      <c r="E13" s="45" t="s">
        <v>308</v>
      </c>
      <c r="F13" s="45" t="s">
        <v>311</v>
      </c>
      <c r="G13" s="45" t="s">
        <v>312</v>
      </c>
      <c r="H13" s="16" t="s">
        <v>313</v>
      </c>
      <c r="I13" s="45" t="s">
        <v>314</v>
      </c>
    </row>
    <row r="14" spans="1:9">
      <c r="A14" s="62" t="s">
        <v>315</v>
      </c>
      <c r="B14" s="2" t="s">
        <v>302</v>
      </c>
      <c r="C14" s="2">
        <v>19</v>
      </c>
      <c r="D14" s="2">
        <v>718</v>
      </c>
      <c r="E14" s="2">
        <f>C14+D14</f>
        <v>737</v>
      </c>
      <c r="F14" s="2">
        <v>1.4999999999999999E-2</v>
      </c>
      <c r="G14" s="2">
        <f>E14*F14</f>
        <v>11.055</v>
      </c>
      <c r="H14" s="64">
        <f>G14+G15</f>
        <v>27.338999999999999</v>
      </c>
      <c r="I14" s="62">
        <v>19.27</v>
      </c>
    </row>
    <row r="15" spans="1:9">
      <c r="A15" s="63"/>
      <c r="B15" s="2" t="s">
        <v>303</v>
      </c>
      <c r="C15" s="2">
        <v>90</v>
      </c>
      <c r="D15" s="2">
        <v>264</v>
      </c>
      <c r="E15" s="2">
        <f t="shared" ref="E15:E17" si="2">C15+D15</f>
        <v>354</v>
      </c>
      <c r="F15" s="2">
        <v>4.5999999999999999E-2</v>
      </c>
      <c r="G15" s="2">
        <f t="shared" ref="G15:G17" si="3">E15*F15</f>
        <v>16.283999999999999</v>
      </c>
      <c r="H15" s="65"/>
      <c r="I15" s="63"/>
    </row>
    <row r="16" spans="1:9">
      <c r="A16" s="62" t="s">
        <v>316</v>
      </c>
      <c r="B16" s="2" t="s">
        <v>302</v>
      </c>
      <c r="C16" s="2">
        <v>68</v>
      </c>
      <c r="D16" s="2">
        <v>13</v>
      </c>
      <c r="E16" s="2">
        <f t="shared" si="2"/>
        <v>81</v>
      </c>
      <c r="F16" s="2">
        <v>1.4999999999999999E-2</v>
      </c>
      <c r="G16" s="2">
        <f t="shared" si="3"/>
        <v>1.2149999999999999</v>
      </c>
      <c r="H16" s="64">
        <f>G16+G17</f>
        <v>18.280999999999999</v>
      </c>
      <c r="I16" s="62">
        <v>19</v>
      </c>
    </row>
    <row r="17" spans="1:9">
      <c r="A17" s="63"/>
      <c r="B17" s="2" t="s">
        <v>303</v>
      </c>
      <c r="C17" s="2">
        <v>52</v>
      </c>
      <c r="D17" s="2">
        <v>319</v>
      </c>
      <c r="E17" s="2">
        <f t="shared" si="2"/>
        <v>371</v>
      </c>
      <c r="F17" s="2">
        <v>4.5999999999999999E-2</v>
      </c>
      <c r="G17" s="2">
        <f t="shared" si="3"/>
        <v>17.065999999999999</v>
      </c>
      <c r="H17" s="65"/>
      <c r="I17" s="63"/>
    </row>
    <row r="18" spans="1:9">
      <c r="A18" s="62" t="s">
        <v>317</v>
      </c>
      <c r="B18" s="2" t="s">
        <v>302</v>
      </c>
      <c r="C18" s="2">
        <v>81</v>
      </c>
      <c r="D18" s="2">
        <v>230</v>
      </c>
      <c r="E18" s="2">
        <f>C18+D18</f>
        <v>311</v>
      </c>
      <c r="F18" s="2">
        <v>1.4999999999999999E-2</v>
      </c>
      <c r="G18" s="2">
        <f>E18*F18</f>
        <v>4.665</v>
      </c>
      <c r="H18" s="64">
        <f>G18+G19</f>
        <v>34.104999999999997</v>
      </c>
      <c r="I18" s="62">
        <v>25</v>
      </c>
    </row>
    <row r="19" spans="1:9">
      <c r="A19" s="63"/>
      <c r="B19" s="2" t="s">
        <v>303</v>
      </c>
      <c r="C19" s="2">
        <v>286</v>
      </c>
      <c r="D19" s="2">
        <v>354</v>
      </c>
      <c r="E19" s="2">
        <f t="shared" ref="E19" si="4">C19+D19</f>
        <v>640</v>
      </c>
      <c r="F19" s="2">
        <v>4.5999999999999999E-2</v>
      </c>
      <c r="G19" s="2">
        <f t="shared" ref="G19" si="5">E19*F19</f>
        <v>29.439999999999998</v>
      </c>
      <c r="H19" s="65"/>
      <c r="I19" s="63"/>
    </row>
  </sheetData>
  <mergeCells count="15">
    <mergeCell ref="A14:A15"/>
    <mergeCell ref="H14:H15"/>
    <mergeCell ref="I14:I15"/>
    <mergeCell ref="H2:H3"/>
    <mergeCell ref="H4:H5"/>
    <mergeCell ref="I2:I3"/>
    <mergeCell ref="I4:I5"/>
    <mergeCell ref="A2:A3"/>
    <mergeCell ref="A4:A5"/>
    <mergeCell ref="A16:A17"/>
    <mergeCell ref="H16:H17"/>
    <mergeCell ref="I16:I17"/>
    <mergeCell ref="A18:A19"/>
    <mergeCell ref="H18:H19"/>
    <mergeCell ref="I18:I19"/>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市調與選品</vt:lpstr>
      <vt:lpstr>決定廣告主題</vt:lpstr>
      <vt:lpstr>AI初稿腳本與角色創建</vt:lpstr>
      <vt:lpstr>故事板-家長心意</vt:lpstr>
      <vt:lpstr>故事板-上班族(WFH)</vt:lpstr>
      <vt:lpstr>開發成本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Shie Kino</cp:lastModifiedBy>
  <dcterms:created xsi:type="dcterms:W3CDTF">2026-04-25T13:36:03Z</dcterms:created>
  <dcterms:modified xsi:type="dcterms:W3CDTF">2026-05-26T14:11:50Z</dcterms:modified>
</cp:coreProperties>
</file>